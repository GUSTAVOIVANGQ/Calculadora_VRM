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159718924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" sheetId="1" r:id="Re81eff3f47194f72"/>
    <x:sheet xmlns:r="http://schemas.openxmlformats.org/officeDocument/2006/relationships" name="Variables clave" sheetId="2" r:id="Re61d364d8eb043b6"/>
    <x:sheet xmlns:r="http://schemas.openxmlformats.org/officeDocument/2006/relationships" name="Desglose regional" sheetId="3" r:id="Rc2780fbe0b664dc3"/>
    <x:sheet xmlns:r="http://schemas.openxmlformats.org/officeDocument/2006/relationships" name="Benchmark" sheetId="4" r:id="Rcf11d7d29d4645fc"/>
    <x:sheet xmlns:r="http://schemas.openxmlformats.org/officeDocument/2006/relationships" name="Regiones" sheetId="5" r:id="R7282a8c9a3bc45dd"/>
    <x:sheet xmlns:r="http://schemas.openxmlformats.org/officeDocument/2006/relationships" name="Ref nacionales" sheetId="6" r:id="Ra8760b60b15d4c4d"/>
    <x:sheet xmlns:r="http://schemas.openxmlformats.org/officeDocument/2006/relationships" name="Conciliación" sheetId="7" r:id="R64e3f789d13b4f7b"/>
    <x:sheet xmlns:r="http://schemas.openxmlformats.org/officeDocument/2006/relationships" name="Descuentos" sheetId="8" r:id="Rcee1736938884fa5"/>
    <x:sheet xmlns:r="http://schemas.openxmlformats.org/officeDocument/2006/relationships" name="Fuente descuentos" sheetId="9" r:id="R2518b150cb224032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K13" authorId="0">
      <x:text>
        <x:r>
          <x:t>Cobertura de la banda de 800 MHz en la Región 9: población 2025 de los 15 UBS del bloque A9.01 incluidos en la hoja "Bloques 800 MHz" de VMR_5G_2026.xlsx (10,153,956 hab) entre la población de la región (31,952,390 hab).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<x:sst xmlns:x="http://schemas.openxmlformats.org/spreadsheetml/2006/main">
  <x:si>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Calculadora simplificada de VMR - Espectro 5G en México (600 MHz, 800 MHz y 2.5 GHz)</x:t>
  </x:si>
  <x:si>
    <x:t xml:space="preserve">Leyenda:</x:t>
  </x:si>
  <x:si>
    <x:t xml:space="preserve">Entrada editable</x:t>
  </x:si>
  <x:si>
    <x:t xml:space="preserve">Fórmula</x:t>
  </x:si>
  <x:si>
    <x:t xml:space="preserve">Vínculo a otra hoja</x:t>
  </x:si>
  <x:si>
    <x:t xml:space="preserve">Salida clave</x:t>
  </x:si>
  <x:si>
    <x:t xml:space="preserve">1. ENTRADAS CLAVE</x:t>
  </x:si>
  <x:si>
    <x:t xml:space="preserve">Parámetros generales (aplican a las tres bandas)</x:t>
  </x:si>
  <x:si>
    <x:t xml:space="preserve">Valor</x:t>
  </x:si>
  <x:si>
    <x:t xml:space="preserve">Unidad</x:t>
  </x:si>
  <x:si>
    <x:t xml:space="preserve">Origen en VMR_5G_2026.xlsx / nota</x:t>
  </x:si>
  <x:si>
    <x:t xml:space="preserve">Tasa de descuento del benchmark (Aetha)</x:t>
  </x:si>
  <x:si>
    <x:t xml:space="preserve">% anual</x:t>
  </x:si>
  <x:si>
    <x:t xml:space="preserve">Benchmark (3 hojas), celda "Tasa Aetha". VP con pagos al final de cada año.</x:t>
  </x:si>
  <x:si>
    <x:t xml:space="preserve">Tasa de descuento de los derechos LFD</x:t>
  </x:si>
  <x:si>
    <x:t xml:space="preserve">Fórmulas =-PV(0.1011,20,...) de las hojas "Bloques" y "Población por Región LFD". VP con pagos al inicio de cada año.</x:t>
  </x:si>
  <x:si>
    <x:t xml:space="preserve">Vigencia de la concesión</x:t>
  </x:si>
  <x:si>
    <x:t xml:space="preserve">años</x:t>
  </x:si>
  <x:si>
    <x:t xml:space="preserve">"Población por Región LFD"!B14 y "Vigencia" de las hojas de benchmark.</x:t>
  </x:si>
  <x:si>
    <x:t xml:space="preserve">índice</x:t>
  </x:si>
  <x:si>
    <x:t xml:space="preserve">Benchmark (3 hojas), "INPC noviembre 2025".</x:t>
  </x:si>
  <x:si>
    <x:t xml:space="preserve">Benchmark (3 hojas), "INPC agosto 2026". También actualiza los montos de las licitaciones nacionales.</x:t>
  </x:si>
  <x:si>
    <x:t xml:space="preserve">Población nacional 2025</x:t>
  </x:si>
  <x:si>
    <x:t xml:space="preserve">hab</x:t>
  </x:si>
  <x:si>
    <x:t xml:space="preserve">Suma de las 9 regiones celulares ("Población por Región LFD"!E11). Se edita en la hoja Regiones.</x:t>
  </x:si>
  <x:si>
    <x:t xml:space="preserve">Parámetros por banda</x:t>
  </x:si>
  <x:si>
    <x:t xml:space="preserve">600 MHz</x:t>
  </x:si>
  <x:si>
    <x:t xml:space="preserve">800 MHz</x:t>
  </x:si>
  <x:si>
    <x:t xml:space="preserve">2.5 GHz</x:t>
  </x:si>
  <x:si>
    <x:t xml:space="preserve">Cantidad de espectro a valorar</x:t>
  </x:si>
  <x:si>
    <x:t xml:space="preserve">MHz</x:t>
  </x:si>
  <x:si>
    <x:t xml:space="preserve">"Bloques 600 MHz"!D2 (30), "Bloques 800 MHz" col. G (20 por bloque), "Bloques 2.5GHz"!D2 (10).</x:t>
  </x:si>
  <x:si>
    <x:t xml:space="preserve">Fuente del MHz/pop aplicable a la VMR</x:t>
  </x:si>
  <x:si>
    <x:t xml:space="preserve">Benchmark</x:t>
  </x:si>
  <x:si>
    <x:t xml:space="preserve">Referencia nacional</x:t>
  </x:si>
  <x:si>
    <x:t xml:space="preserve">selección</x:t>
  </x:si>
  <x:si>
    <x:t xml:space="preserve">"Benchmark" = (benchmark - derechos) actualizado por INPC. "Referencia nacional" = licitaciones IFT-7/IFT-10. Por defecto el original usa Benchmark en 600 y 800 MHz, y Referencia nacional en 2.5 GHz.</x:t>
  </x:si>
  <x:si>
    <x:t xml:space="preserve">2. CADENA DE CÁLCULO DEL MHz/pop (MXN por MHz por habitante)</x:t>
  </x:si>
  <x:si>
    <x:t xml:space="preserve">Concepto</x:t>
  </x:si>
  <x:si>
    <x:t xml:space="preserve">Fórmula / nota</x:t>
  </x:si>
  <x:si>
    <x:t xml:space="preserve">Mediana del benchmark internacional (anualizado, cierre 2025)</x:t>
  </x:si>
  <x:si>
    <x:t xml:space="preserve">MXN/MHz/hab</x:t>
  </x:si>
  <x:si>
    <x:t xml:space="preserve">Hoja Benchmark: mediana de la columna "Valor utilizado" (permite excluir países).</x:t>
  </x:si>
  <x:si>
    <x:t xml:space="preserve">Observaciones incluidas en el benchmark</x:t>
  </x:si>
  <x:si>
    <x:t xml:space="preserve">n</x:t>
  </x:si>
  <x:si>
    <x:t xml:space="preserve">Cuenta de observaciones con Incluir = 1.</x:t>
  </x:si>
  <x:si>
    <x:t xml:space="preserve">(a) VP del benchmark a la vigencia</x:t>
  </x:si>
  <x:si>
    <x:t xml:space="preserve">VP = -PV(tasa Aetha, vigencia, mediana, 0, 0)</x:t>
  </x:si>
  <x:si>
    <x:t xml:space="preserve">Cuota anual LFD nacional por MHz</x:t>
  </x:si>
  <x:si>
    <x:t xml:space="preserve">MXN/MHz/año</x:t>
  </x:si>
  <x:si>
    <x:t xml:space="preserve">Suma nacional de cuotas LFD de la banda (hoja Regiones) x 1,000 kHz por MHz.</x:t>
  </x:si>
  <x:si>
    <x:t xml:space="preserve">(b) VP de los derechos LFD a la vigencia</x:t>
  </x:si>
  <x:si>
    <x:t xml:space="preserve">VP = -PV(tasa derechos, vigencia, cuota anual, 0, 1) / población nacional</x:t>
  </x:si>
  <x:si>
    <x:t xml:space="preserve">Diferencia (a) - (b), INPC noviembre 2025</x:t>
  </x:si>
  <x:si>
    <x:t xml:space="preserve">(a) - (b). Negativo en 2.5 GHz: por eso el original usa la referencia nacional.</x:t>
  </x:si>
  <x:si>
    <x:t xml:space="preserve">Factor de actualización INPC</x:t>
  </x:si>
  <x:si>
    <x:t xml:space="preserve">factor</x:t>
  </x:si>
  <x:si>
    <x:t xml:space="preserve">Factor = ROUND(INPC actual / INPC base, 4)</x:t>
  </x:si>
  <x:si>
    <x:t xml:space="preserve">(c) Diferencia actualizada, INPC agosto 2026</x:t>
  </x:si>
  <x:si>
    <x:t xml:space="preserve">(a)-(b) x factor INPC.</x:t>
  </x:si>
  <x:si>
    <x:t xml:space="preserve">(d) Referencia nacional (licitaciones), INPC agosto 2026</x:t>
  </x:si>
  <x:si>
    <x:t xml:space="preserve">n.d.</x:t>
  </x:si>
  <x:si>
    <x:t xml:space="preserve">Hoja Ref nacionales. Solo existe para 800 MHz (contraste) y 2.5 GHz.</x:t>
  </x:si>
  <x:si>
    <x:t xml:space="preserve">MHz/pop APLICABLE A LA VMR</x:t>
  </x:si>
  <x:si>
    <x:t xml:space="preserve">Si la fuente es "Benchmark" = (c); si es "Referencia nacional" = (d).</x:t>
  </x:si>
  <x:si>
    <x:t xml:space="preserve">3. RESULTADOS NACIONALES (SALIDAS CLAVE)</x:t>
  </x:si>
  <x:si>
    <x:t xml:space="preserve">Resultado</x:t>
  </x:si>
  <x:si>
    <x:t xml:space="preserve">Población cubierta por la banda</x:t>
  </x:si>
  <x:si>
    <x:t xml:space="preserve">Población de cada región x cobertura de la banda (hoja Regiones).</x:t>
  </x:si>
  <x:si>
    <x:t xml:space="preserve">Cobertura poblacional nacional</x:t>
  </x:si>
  <x:si>
    <x:t xml:space="preserve">%</x:t>
  </x:si>
  <x:si>
    <x:t xml:space="preserve">Población cubierta / población nacional.</x:t>
  </x:si>
  <x:si>
    <x:t xml:space="preserve">MXN</x:t>
  </x:si>
  <x:si>
    <x:t xml:space="preserve">Población nacional x MHz x MHz/pop aplicable x SUMA(proporción LFD x cobertura) por región.</x:t>
  </x:si>
  <x:si>
    <x:t xml:space="preserve">MXN/año</x:t>
  </x:si>
  <x:si>
    <x:t xml:space="preserve">MHz x 1,000 x SUMA(cuota LFD regional x cobertura).</x:t>
  </x:si>
  <x:si>
    <x:t xml:space="preserve">VP = -PV(tasa derechos, vigencia, derechos anuales, 0, 1)</x:t>
  </x:si>
  <x:si>
    <x:t xml:space="preserve">Alerta</x:t>
  </x:si>
  <x:si>
    <x:t xml:space="preserve">Avisa si el MHz/pop aplicable es menor o igual a cero.</x:t>
  </x:si>
  <x:si>
    <x:t xml:space="preserve">Otras entradas editables: hoja Benchmark (columna Incluir), hoja Regiones (población, cuotas LFD, cobertura) y hoja Ref nacionales (montos, MHz e INPC de licitaciones). Desglose por región en la hoja "Desglose regional". Mapa completo de variables en la hoja "Variables clave".</x:t>
  </x:si>
  <x:si>
    <x:t xml:space="preserve">Mapa de variables clave: entradas, intermedias y salidas</x:t>
  </x:si>
  <x:si>
    <x:t xml:space="preserve">Identifica qué variables mueven el resultado y dónde vive cada una, tanto en esta calculadora como en VMR_5G_2026.xlsx.</x:t>
  </x:si>
  <x:si>
    <x:t xml:space="preserve">Fórmula maestra:   VMR = Población nacional x MHz x MHz/pop aplicable x SUMA por región (proporción LFD x cobertura)</x:t>
  </x:si>
  <x:si>
    <x:t xml:space="preserve">MHz/pop aplicable = [VP(mediana del benchmark; tasa Aetha) - VP(cuota LFD; tasa de derechos)] x factor INPC   (o bien la referencia nacional, según la fuente elegida)</x:t>
  </x:si>
  <x:si>
    <x:t xml:space="preserve">Tipo</x:t>
  </x:si>
  <x:si>
    <x:t xml:space="preserve">Variable</x:t>
  </x:si>
  <x:si>
    <x:t xml:space="preserve">Dónde en esta calculadora</x:t>
  </x:si>
  <x:si>
    <x:t xml:space="preserve">Equivalente en VMR_5G_2026.xlsx</x:t>
  </x:si>
  <x:si>
    <x:t xml:space="preserve">Cómo influye en el resultado</x:t>
  </x:si>
  <x:si>
    <x:t xml:space="preserve">ENTRADA</x:t>
  </x:si>
  <x:si>
    <x:t xml:space="preserve">Calculadora!C15:E15</x:t>
  </x:si>
  <x:si>
    <x:t xml:space="preserve">"Bloques 600 MHz"!D2; "Bloques 800 MHz" col. G; "Bloques 2.5GHz"!D2</x:t>
  </x:si>
  <x:si>
    <x:t xml:space="preserve">Proporcional: duplicar los MHz duplica la VMR y los derechos.</x:t>
  </x:si>
  <x:si>
    <x:t xml:space="preserve">Fuente del MHz/pop aplicable</x:t>
  </x:si>
  <x:si>
    <x:t xml:space="preserve">Calculadora!C16:E16</x:t>
  </x:si>
  <x:si>
    <x:t xml:space="preserve">"Benchmark banda 600MHz"!G8; "Benchmark banda 800MHz"!G6; "Benchmark 2.5 GHz"!G8</x:t>
  </x:si>
  <x:si>
    <x:t xml:space="preserve">Decide si la VMR parte del benchmark internacional o de las licitaciones nacionales. Es la decisión metodológica de mayor impacto en 2.5 GHz.</x:t>
  </x:si>
  <x:si>
    <x:t xml:space="preserve">Mediana / observaciones del benchmark</x:t>
  </x:si>
  <x:si>
    <x:t xml:space="preserve">Benchmark!E:E (Incluir 1/0)</x:t>
  </x:si>
  <x:si>
    <x:t xml:space="preserve">Hojas "Benchmark ..." col. C; origen en "Conversión" col. O</x:t>
  </x:si>
  <x:si>
    <x:t xml:space="preserve">Determina el nivel de precio internacional. Excluir países mueve la mediana.</x:t>
  </x:si>
  <x:si>
    <x:t xml:space="preserve">Calculadora!C7</x:t>
  </x:si>
  <x:si>
    <x:t xml:space="preserve">Hojas "Benchmark ...", celda "Tasa Aetha"</x:t>
  </x:si>
  <x:si>
    <x:t xml:space="preserve">A mayor tasa, menor VP del benchmark y menor diferencia contra los derechos.</x:t>
  </x:si>
  <x:si>
    <x:t xml:space="preserve">Calculadora!C8</x:t>
  </x:si>
  <x:si>
    <x:t xml:space="preserve">Fórmulas -PV(0.1011,...) en "Bloques ..." y "Población por Región LFD"</x:t>
  </x:si>
  <x:si>
    <x:t xml:space="preserve">A mayor tasa, menor VP de derechos y mayor diferencia (benchmark - derechos).</x:t>
  </x:si>
  <x:si>
    <x:t xml:space="preserve">Calculadora!C9</x:t>
  </x:si>
  <x:si>
    <x:t xml:space="preserve">"Población por Región LFD"!B14; "Vigencia" en hojas de benchmark</x:t>
  </x:si>
  <x:si>
    <x:t xml:space="preserve">Afecta ambos VP (benchmark y derechos).</x:t>
  </x:si>
  <x:si>
    <x:t xml:space="preserve">INPC base y actual</x:t>
  </x:si>
  <x:si>
    <x:t xml:space="preserve">Calculadora!C10:C11</x:t>
  </x:si>
  <x:si>
    <x:t xml:space="preserve">Hojas "Benchmark ..." (INPC nov-2025 y ago-2026)</x:t>
  </x:si>
  <x:si>
    <x:t xml:space="preserve">Su cociente (factor de actualización) escala la diferencia y los montos de licitaciones.</x:t>
  </x:si>
  <x:si>
    <x:t xml:space="preserve">Población por región (2025)</x:t>
  </x:si>
  <x:si>
    <x:t xml:space="preserve">Regiones!B5:B13</x:t>
  </x:si>
  <x:si>
    <x:t xml:space="preserve">"Población por Región LFD"!E2:E10</x:t>
  </x:si>
  <x:si>
    <x:t xml:space="preserve">Base del MHz/pop y de la población nacional.</x:t>
  </x:si>
  <x:si>
    <x:t xml:space="preserve">Cuotas LFD por región y banda</x:t>
  </x:si>
  <x:si>
    <x:t xml:space="preserve">MXN/kHz/año</x:t>
  </x:si>
  <x:si>
    <x:t xml:space="preserve">Regiones!D5:F13</x:t>
  </x:si>
  <x:si>
    <x:t xml:space="preserve">"Población por Región LFD"!G:L (arts. 244, 244-G y 244-H LFD)</x:t>
  </x:si>
  <x:si>
    <x:t xml:space="preserve">Definen los derechos anuales y la proporción con que se reparte el valor entre regiones.</x:t>
  </x:si>
  <x:si>
    <x:t xml:space="preserve">Cobertura poblacional de la banda por región</x:t>
  </x:si>
  <x:si>
    <x:t xml:space="preserve">Regiones!J5:L13</x:t>
  </x:si>
  <x:si>
    <x:t xml:space="preserve">Implícita en las listas de UBS de las hojas "Bloques ..."</x:t>
  </x:si>
  <x:si>
    <x:t xml:space="preserve">Reduce VMR y derechos donde el bloque no cubre toda la región (800 MHz, Región 9: 31.78%).</x:t>
  </x:si>
  <x:si>
    <x:t xml:space="preserve">Licitaciones nacionales de referencia</x:t>
  </x:si>
  <x:si>
    <x:t xml:space="preserve">MXN, MHz, INPC</x:t>
  </x:si>
  <x:si>
    <x:t xml:space="preserve">Ref nacionales!D5:F9</x:t>
  </x:si>
  <x:si>
    <x:t xml:space="preserve">"Licitación No. IFT-7", "Licitación IFT-10_2.5 GHz", "Licitación IFT-10 800MHz"</x:t>
  </x:si>
  <x:si>
    <x:t xml:space="preserve">Fijan el MHz/pop de referencia nacional (2.5 GHz por defecto).</x:t>
  </x:si>
  <x:si>
    <x:t xml:space="preserve">INTERMEDIA</x:t>
  </x:si>
  <x:si>
    <x:t xml:space="preserve">VP del benchmark (a) y VP de derechos (b)</x:t>
  </x:si>
  <x:si>
    <x:t xml:space="preserve">Calculadora!C22:E22 y C24:E24</x:t>
  </x:si>
  <x:si>
    <x:t xml:space="preserve">"Benchmark ..." G6/D33/D24/D48 y "Población por Región LFD"!G15/K15/L15</x:t>
  </x:si>
  <x:si>
    <x:t xml:space="preserve">Su diferencia es el valor que el espectro aporta por encima de lo que ya se paga en derechos.</x:t>
  </x:si>
  <x:si>
    <x:t xml:space="preserve">Diferencia actualizada (c) y referencia nacional (d)</x:t>
  </x:si>
  <x:si>
    <x:t xml:space="preserve">Calculadora!C27:E28</x:t>
  </x:si>
  <x:si>
    <x:t xml:space="preserve">"Benchmark ..." G7/G8 y "Referencias nacionales 2.5 GHz"!B6</x:t>
  </x:si>
  <x:si>
    <x:t xml:space="preserve">Una de las dos se convierte en el MHz/pop aplicable.</x:t>
  </x:si>
  <x:si>
    <x:t xml:space="preserve">SALIDA</x:t>
  </x:si>
  <x:si>
    <x:t xml:space="preserve">MHz/pop aplicable a la VMR</x:t>
  </x:si>
  <x:si>
    <x:t xml:space="preserve">Calculadora!C29:E29</x:t>
  </x:si>
  <x:si>
    <x:t xml:space="preserve">Precio unitario que se traslada a la VMR.</x:t>
  </x:si>
  <x:si>
    <x:t xml:space="preserve">VMR</x:t>
  </x:si>
  <x:si>
    <x:t xml:space="preserve">Calculadora!C35:E35</x:t>
  </x:si>
  <x:si>
    <x:t xml:space="preserve">"Bloques 600 MHz"!E2; "Bloques 2.5GHz"!E2; suma de "Bloques 800 MHz" col. J</x:t>
  </x:si>
  <x:si>
    <x:t xml:space="preserve">Resultado principal.</x:t>
  </x:si>
  <x:si>
    <x:t xml:space="preserve">Derechos anuales LFD</x:t>
  </x:si>
  <x:si>
    <x:t xml:space="preserve">Calculadora!C36:E36</x:t>
  </x:si>
  <x:si>
    <x:t xml:space="preserve">"Bloques 600 MHz"!G2; "Bloques 2.5GHz"!F2; suma de "Bloques 800 MHz" col. K</x:t>
  </x:si>
  <x:si>
    <x:t xml:space="preserve">Pago anual por uso del espectro.</x:t>
  </x:si>
  <x:si>
    <x:t xml:space="preserve">VP de derechos LFD a la vigencia</x:t>
  </x:si>
  <x:si>
    <x:t xml:space="preserve">Calculadora!C37:E37</x:t>
  </x:si>
  <x:si>
    <x:t xml:space="preserve">"Bloques 600 MHz"!H2; "Bloques 2.5GHz"!G2; suma de "Bloques 800 MHz" col. L</x:t>
  </x:si>
  <x:si>
    <x:t xml:space="preserve">Valor presente de los derechos durante la vigencia.</x:t>
  </x:si>
  <x:si>
    <x:t xml:space="preserve">VMR, derechos y VP por región</x:t>
  </x:si>
  <x:si>
    <x:t xml:space="preserve">Desglose regional</x:t>
  </x:si>
  <x:si>
    <x:t xml:space="preserve">Sumas por región de las hojas "Bloques ..."</x:t>
  </x:si>
  <x:si>
    <x:t xml:space="preserve">Reparto regional; los totales concilian con la Calculadora.</x:t>
  </x:si>
  <x:si>
    <x:t xml:space="preserve">Observaciones sobre el archivo original</x:t>
  </x:si>
  <x:si>
    <x:t xml:space="preserve">1) 800 MHz cubre solo el 31.78% de la población de la Región 9 (bloque A9.01: 15 de 22 UBS). Por eso su VMR equivale al 72.6% de "población x MHz x MHz/pop".</x:t>
  </x:si>
  <x:si>
    <x:t xml:space="preserve">2) En 2.5 GHz, (benchmark - derechos) es negativo (-0.788 MXN/MHz/hab a ago-2026). El original usa la referencia nacional de las licitaciones IFT-7 e IFT-10 (0.2097).</x:t>
  </x:si>
  <x:si>
    <x:t xml:space="preserve">3) "Bloques 800 MHz" toma la proporción LFD de la columna N (600 MHz) y no de la O (800 MHz). La diferencia es menor a 0.00001% y esta calculadora usa la proporción de 800 MHz.</x:t>
  </x:si>
  <x:si>
    <x:t xml:space="preserve">4) "No. Bloques" ("Bloques 600 MHz"!B2 y "Bloques 2.5GHz"!B2) no interviene en ninguna fórmula, por lo que se omite.</x:t>
  </x:si>
  <x:si>
    <x:t xml:space="preserve">5) No se replica el detalle por UBS/municipio ni la conversión de subastas internacionales (hoja "Conversión"): sus resultados entran como datos (benchmark por país y MHz ponderados de IFT-10).</x:t>
  </x:si>
  <x:si>
    <x:t xml:space="preserve">6) La tasa de 10.11% para el VP de derechos está fija dentro de las fórmulas del original; aquí es una entrada editable.</x:t>
  </x:si>
  <x:si>
    <x:t xml:space="preserve">7) "Bloques 600 MHz" (col. K y L: derechos anuales y VP por UBS) busca la cuota en la columna K de "Población por Región LFD" (800/850 MHz) y no en la L (600 MHz). Sus derechos por UBS suman 540.9 M por bloque de 10 MHz, contra 270.0 M con la cuota de 600 MHz que sí usa su fila nacional (G2). No afecta la VMR.</x:t>
  </x:si>
  <x:si>
    <x:t xml:space="preserve">8) "Bloques 800 MHz" (col. K y L) busca la cuota en la columna J (AWS) y no en la K (800/850 MHz): 0.165% de diferencia en derechos y VP. No afecta la VMR. Esta calculadora usa la cuota de cada banda en todos sus cálculos.</x:t>
  </x:si>
  <x:si>
    <x:t xml:space="preserve">Desglose regional de la VMR y de los derechos LFD</x:t>
  </x:si>
  <x:si>
    <x:t xml:space="preserve">Reparte los resultados nacionales de la Calculadora entre las 9 regiones celulares. Los totales concilian con la sección 3 de la Calculadora. No replica el detalle por UBS/municipio del archivo original (hojas "Bloques" y "Bloque A1/A9.01/C1").</x:t>
  </x:si>
  <x:si>
    <x:t xml:space="preserve">Región celular</x:t>
  </x:si>
  <x:si>
    <x:t xml:space="preserve">Población 2025 (hab)</x:t>
  </x:si>
  <x:si>
    <x:t xml:space="preserve">VMR (MXN)</x:t>
  </x:si>
  <x:si>
    <x:t xml:space="preserve">Derechos anuales (MXN/año)</x:t>
  </x:si>
  <x:si>
    <x:t xml:space="preserve">VP derechos (MXN)</x:t>
  </x:si>
  <x:si>
    <x:t xml:space="preserve">Total</x:t>
  </x:si>
  <x:si>
    <x:t xml:space="preserve">Calculadora</x:t>
  </x:si>
  <x:si>
    <x:t xml:space="preserve">Diferencia</x:t>
  </x:si>
  <x:si>
    <x:t xml:space="preserve">Benchmark internacional (MHz/pop anualizado, MXN, cierre 2025)</x:t>
  </x:si>
  <x:si>
    <x:t xml:space="preserve">Valores de las hojas "Benchmark banda 600MHz", "Benchmark banda 800MHz" y "Benchmark 2.5 GHz" de VMR_5G_2026.xlsx (col. C), que provienen de la hoja "Conversión" (col. O). Use la columna "Incluir" (1/0) para excluir observaciones; la mediana se recalcula.</x:t>
  </x:si>
  <x:si>
    <x:t xml:space="preserve">No.</x:t>
  </x:si>
  <x:si>
    <x:t xml:space="preserve">Banda</x:t>
  </x:si>
  <x:si>
    <x:t xml:space="preserve">País / subasta</x:t>
  </x:si>
  <x:si>
    <x:t xml:space="preserve">MHz/pop anualizado (MXN, cierre 2025)</x:t>
  </x:si>
  <x:si>
    <x:t xml:space="preserve">Incluir (1/0)</x:t>
  </x:si>
  <x:si>
    <x:t xml:space="preserve">Valor utilizado</x:t>
  </x:si>
  <x:si>
    <x:t xml:space="preserve">Observaciones incluidas</x:t>
  </x:si>
  <x:si>
    <x:t xml:space="preserve">Mediana (MHz/pop anualizado)</x:t>
  </x:si>
  <x:si>
    <x:t xml:space="preserve">FIN [700MHz EU,2016]</x:t>
  </x:si>
  <x:si>
    <x:t xml:space="preserve">FRA [700MHz EU,2015]</x:t>
  </x:si>
  <x:si>
    <x:t xml:space="preserve">ISL [700MHz EU,2017]</x:t>
  </x:si>
  <x:si>
    <x:t xml:space="preserve">CAN [600 MHz,2019]</x:t>
  </x:si>
  <x:si>
    <x:t xml:space="preserve">DNK [700MHz EU,2019]</x:t>
  </x:si>
  <x:si>
    <x:t xml:space="preserve">La mediana alimenta la Calculadora (sección 2). Si excluye todas las observaciones de una banda, la mediana mostrará un error de cálculo.</x:t>
  </x:si>
  <x:si>
    <x:t xml:space="preserve">GBR [700 MHz EU,2021]</x:t>
  </x:si>
  <x:si>
    <x:t xml:space="preserve">PRT [700 MHz EU,2021]</x:t>
  </x:si>
  <x:si>
    <x:t xml:space="preserve">CZE [700 MHz EU,2021]</x:t>
  </x:si>
  <x:si>
    <x:t xml:space="preserve">ESP [700 MHz EU,2021]</x:t>
  </x:si>
  <x:si>
    <x:t xml:space="preserve">NLD [700 MHz EU,2020]</x:t>
  </x:si>
  <x:si>
    <x:t xml:space="preserve">DEU [700 MHz EU,2015]</x:t>
  </x:si>
  <x:si>
    <x:t xml:space="preserve">HUN [700 MHz EU,2020]</x:t>
  </x:si>
  <x:si>
    <x:t xml:space="preserve">NOR [700 MHz EU,2019]</x:t>
  </x:si>
  <x:si>
    <x:t xml:space="preserve">LVA [700 MHz EU,2021]</x:t>
  </x:si>
  <x:si>
    <x:t xml:space="preserve">SVK [700 MHz EU,2020]</x:t>
  </x:si>
  <x:si>
    <x:t xml:space="preserve">GRC [700 MHz EU,2020]</x:t>
  </x:si>
  <x:si>
    <x:t xml:space="preserve">SWE [700 MHz EU,2018]</x:t>
  </x:si>
  <x:si>
    <x:t xml:space="preserve">LUX [700 MHz EU,2020]</x:t>
  </x:si>
  <x:si>
    <x:t xml:space="preserve">ITA [700 MHz EU,2018]</x:t>
  </x:si>
  <x:si>
    <x:t xml:space="preserve">HRV [700 MHz EU,2021]</x:t>
  </x:si>
  <x:si>
    <x:t xml:space="preserve">SVN [700 MHz EU,2021]</x:t>
  </x:si>
  <x:si>
    <x:t xml:space="preserve">AUT [700 MHz EU,2020]</x:t>
  </x:si>
  <x:si>
    <x:t xml:space="preserve">CHE [700 MHz EU,2019]</x:t>
  </x:si>
  <x:si>
    <x:t xml:space="preserve">BEL [700 MHz EU,2022]</x:t>
  </x:si>
  <x:si>
    <x:t xml:space="preserve">ROU [700 MHz EU,2022]</x:t>
  </x:si>
  <x:si>
    <x:t xml:space="preserve">BGR [700 MHz EU,2023]</x:t>
  </x:si>
  <x:si>
    <x:t xml:space="preserve">POL [700 MHz EU,2024]</x:t>
  </x:si>
  <x:si>
    <x:t xml:space="preserve">MDA [700 MHz EU,2024]</x:t>
  </x:si>
  <x:si>
    <x:t xml:space="preserve">TUR [700 MHz EU,2025]</x:t>
  </x:si>
  <x:si>
    <x:t xml:space="preserve">VNM [700 MHz EU,2025]</x:t>
  </x:si>
  <x:si>
    <x:t xml:space="preserve">AUT [900MHz,2013]</x:t>
  </x:si>
  <x:si>
    <x:t xml:space="preserve">CHE [900MHz,2012]</x:t>
  </x:si>
  <x:si>
    <x:t xml:space="preserve">ESP [900MHz,2011]</x:t>
  </x:si>
  <x:si>
    <x:t xml:space="preserve">HUN [900MHz,2014]</x:t>
  </x:si>
  <x:si>
    <x:t xml:space="preserve">IRL [900MHz,2012]</x:t>
  </x:si>
  <x:si>
    <x:t xml:space="preserve">NLD [900MHz,2012]</x:t>
  </x:si>
  <x:si>
    <x:t xml:space="preserve">NOR [900MHz,2013]</x:t>
  </x:si>
  <x:si>
    <x:t xml:space="preserve">NOR [900MHz,2017]</x:t>
  </x:si>
  <x:si>
    <x:t xml:space="preserve">PER [900MHz,2012]</x:t>
  </x:si>
  <x:si>
    <x:t xml:space="preserve">PRT [900MHz,2011]</x:t>
  </x:si>
  <x:si>
    <x:t xml:space="preserve">ROU [900MHz,2012]</x:t>
  </x:si>
  <x:si>
    <x:t xml:space="preserve">SVN [900MHz,2014]</x:t>
  </x:si>
  <x:si>
    <x:t xml:space="preserve">TUR [900MHz,2015]</x:t>
  </x:si>
  <x:si>
    <x:t xml:space="preserve">DEU [900MHz,2015]</x:t>
  </x:si>
  <x:si>
    <x:t xml:space="preserve">BRA [900MHz,2010]</x:t>
  </x:si>
  <x:si>
    <x:t xml:space="preserve">BEL [900 MHz,2022]</x:t>
  </x:si>
  <x:si>
    <x:t xml:space="preserve">HRV [900 MHz,2023]</x:t>
  </x:si>
  <x:si>
    <x:t xml:space="preserve">SWE [900 MHz,2023]</x:t>
  </x:si>
  <x:si>
    <x:t xml:space="preserve">MDA [900 MHz,2024]</x:t>
  </x:si>
  <x:si>
    <x:t xml:space="preserve">HKG [850 MHz,2024]</x:t>
  </x:si>
  <x:si>
    <x:t xml:space="preserve">SVK [900 MHz,2025]</x:t>
  </x:si>
  <x:si>
    <x:t xml:space="preserve">AUS [2.5GHz FDD,2013]</x:t>
  </x:si>
  <x:si>
    <x:t xml:space="preserve">AUT [2.5GHz FDD,2010]</x:t>
  </x:si>
  <x:si>
    <x:t xml:space="preserve">AUT [2.5GHz TDD,2010]</x:t>
  </x:si>
  <x:si>
    <x:t xml:space="preserve">BEL [2.5GHz FDD,2011]</x:t>
  </x:si>
  <x:si>
    <x:t xml:space="preserve">BEL [2.5GHz TDD,2011]</x:t>
  </x:si>
  <x:si>
    <x:t xml:space="preserve">BRA [2.5GHz FDD,2012]</x:t>
  </x:si>
  <x:si>
    <x:t xml:space="preserve">CHE [2.5GHz FDD,2012]</x:t>
  </x:si>
  <x:si>
    <x:t xml:space="preserve">CHE [2.5GHz TDD,2012]</x:t>
  </x:si>
  <x:si>
    <x:t xml:space="preserve">CHL [2.5GHz FDD,2012]</x:t>
  </x:si>
  <x:si>
    <x:t xml:space="preserve">COL [2.5GHz FDD,2013]</x:t>
  </x:si>
  <x:si>
    <x:t xml:space="preserve">COL [2.5GHz TDD,2013]</x:t>
  </x:si>
  <x:si>
    <x:t xml:space="preserve">CZE [2.5GHz FDD,2013]</x:t>
  </x:si>
  <x:si>
    <x:t xml:space="preserve">DNK [2.5GHz FDD,2010]</x:t>
  </x:si>
  <x:si>
    <x:t xml:space="preserve">DNK [2.5GHz TDD,2010]</x:t>
  </x:si>
  <x:si>
    <x:t xml:space="preserve">ESP [2.5GHz FDD,2011]</x:t>
  </x:si>
  <x:si>
    <x:t xml:space="preserve">FIN [2.5GHz FDD,2009]</x:t>
  </x:si>
  <x:si>
    <x:t xml:space="preserve">FIN [2.5GHz TDD,2009]</x:t>
  </x:si>
  <x:si>
    <x:t xml:space="preserve">FRA [2.5GHz FDD,2011]</x:t>
  </x:si>
  <x:si>
    <x:t xml:space="preserve">HUN [2.5GHz FDD,2014]</x:t>
  </x:si>
  <x:si>
    <x:t xml:space="preserve">HUN [2.5GHz TDD,2014]</x:t>
  </x:si>
  <x:si>
    <x:t xml:space="preserve">ISL [2.5GHz FDD,2017]</x:t>
  </x:si>
  <x:si>
    <x:t xml:space="preserve">NLD [2.5GHz TDD,2012]</x:t>
  </x:si>
  <x:si>
    <x:t xml:space="preserve">NLD [2.5GHz FDD,2010]</x:t>
  </x:si>
  <x:si>
    <x:t xml:space="preserve">NOR [2.5GHz TDD,2008]</x:t>
  </x:si>
  <x:si>
    <x:t xml:space="preserve">POL [2.5GHz FDD,2015]</x:t>
  </x:si>
  <x:si>
    <x:t xml:space="preserve">PRT [2.5GHz FDD,2011]</x:t>
  </x:si>
  <x:si>
    <x:t xml:space="preserve">PRT [2.5GHz TDD,2011]</x:t>
  </x:si>
  <x:si>
    <x:t xml:space="preserve">ROU [2.5GHz FDD,2012]</x:t>
  </x:si>
  <x:si>
    <x:t xml:space="preserve">ROU [2.5GHz TDD,2012]</x:t>
  </x:si>
  <x:si>
    <x:t xml:space="preserve">SVK [2.5GHz FDD,2013]</x:t>
  </x:si>
  <x:si>
    <x:t xml:space="preserve">SVK [2.5GHz TDD,2013]</x:t>
  </x:si>
  <x:si>
    <x:t xml:space="preserve">SVN [2.5GHz FDD,2014]</x:t>
  </x:si>
  <x:si>
    <x:t xml:space="preserve">SVN [2.5GHz TDD,2014]</x:t>
  </x:si>
  <x:si>
    <x:t xml:space="preserve">SWE [2.5GHz FDD,2008]</x:t>
  </x:si>
  <x:si>
    <x:t xml:space="preserve">SWE [2.5GHz TDD,2008]</x:t>
  </x:si>
  <x:si>
    <x:t xml:space="preserve">TUR [2.5GHz FDD,2015]</x:t>
  </x:si>
  <x:si>
    <x:t xml:space="preserve">TUR [2.5GHz TDD,2015]</x:t>
  </x:si>
  <x:si>
    <x:t xml:space="preserve">ROU [2.5GHz FDD,2022]</x:t>
  </x:si>
  <x:si>
    <x:t xml:space="preserve">COL [2.5 GHz ,2023]</x:t>
  </x:si>
  <x:si>
    <x:t xml:space="preserve">HRV [2.5 GHz ,2023]</x:t>
  </x:si>
  <x:si>
    <x:t xml:space="preserve">SWE [2.5 GHz ,2023]</x:t>
  </x:si>
  <x:si>
    <x:t xml:space="preserve">UKR [2.5 GHz,2024]</x:t>
  </x:si>
  <x:si>
    <x:t xml:space="preserve">SVK [2.5 GHz,2025]</x:t>
  </x:si>
  <x:si>
    <x:t xml:space="preserve">HKG [2.5 GHz,2025]</x:t>
  </x:si>
  <x:si>
    <x:t xml:space="preserve">PAK [2.5 GHz,2025]</x:t>
  </x:si>
  <x:si>
    <x:t xml:space="preserve">Regiones celulares: población, cuotas LFD y cobertura por banda</x:t>
  </x:si>
  <x:si>
    <x:t xml:space="preserve">% de la población</x:t>
  </x:si>
  <x:si>
    <x:t xml:space="preserve">Cuota LFD 600 MHz (MXN/kHz/año)</x:t>
  </x:si>
  <x:si>
    <x:t xml:space="preserve">Cuota LFD 800/850 MHz (MXN/kHz/año)</x:t>
  </x:si>
  <x:si>
    <x:t xml:space="preserve">Cuota LFD 2.5 GHz (MXN/kHz/año)</x:t>
  </x:si>
  <x:si>
    <x:t xml:space="preserve">Proporción LFD 600 MHz</x:t>
  </x:si>
  <x:si>
    <x:t xml:space="preserve">Proporción LFD 800 MHz</x:t>
  </x:si>
  <x:si>
    <x:t xml:space="preserve">Proporción LFD 2.5 GHz</x:t>
  </x:si>
  <x:si>
    <x:t xml:space="preserve">Cobertura poblacional 600 MHz</x:t>
  </x:si>
  <x:si>
    <x:t xml:space="preserve">Cobertura poblacional 800 MHz</x:t>
  </x:si>
  <x:si>
    <x:t xml:space="preserve">Cobertura poblacional 2.5 GHz</x:t>
  </x:si>
  <x:si>
    <x:t xml:space="preserve">Notas:</x:t>
  </x:si>
  <x:si>
    <x:t xml:space="preserve">1) La proporción LFD de cada región = cuota LFD de la región / suma nacional de cuotas de la banda. Determina cómo se reparte el valor nacional entre regiones.</x:t>
  </x:si>
  <x:si>
    <x:t xml:space="preserve">2) Cobertura poblacional = parte de la población de la región cubierta por los UBS del bloque valorado. Es 100% en todo, salvo 800 MHz en la Región 9 (bloque A9.01 cubre 15 de 22 UBS).</x:t>
  </x:si>
  <x:si>
    <x:t xml:space="preserve">3) Bandas del original no usadas en esta calculadora (700 MHz, PCS, AWS, Banda L) se omiten.</x:t>
  </x:si>
  <x:si>
    <x:t xml:space="preserve">Referencias nacionales: licitaciones IFT-7 e IFT-10</x:t>
  </x:si>
  <x:si>
    <x:t xml:space="preserve">Montos pagados actualizados con el INPC actual (Calculadora) y expresados en MHz/pop con población INEGI 2015. Datos tomados de las hojas "Licitación No. IFT-7", "Licitación IFT-10_2.5 GHz", "Licitación IFT-10 800MHz" y "Referencias nacionales 2.5 GHz" de VMR_5G_2026.xlsx.</x:t>
  </x:si>
  <x:si>
    <x:t xml:space="preserve">Licitación</x:t>
  </x:si>
  <x:si>
    <x:t xml:space="preserve">Ganador / bloque</x:t>
  </x:si>
  <x:si>
    <x:t xml:space="preserve">MHz (ponderados por población y LFD)</x:t>
  </x:si>
  <x:si>
    <x:t xml:space="preserve">Monto pagado nominal (MXN)</x:t>
  </x:si>
  <x:si>
    <x:t xml:space="preserve">INPC del mes del precio</x:t>
  </x:si>
  <x:si>
    <x:t xml:space="preserve">Factor de actualización</x:t>
  </x:si>
  <x:si>
    <x:t xml:space="preserve">Monto actualizado (MXN, INPC actual)</x:t>
  </x:si>
  <x:si>
    <x:t xml:space="preserve">Nota</x:t>
  </x:si>
  <x:si>
    <x:t xml:space="preserve">IFT-7</x:t>
  </x:si>
  <x:si>
    <x:t xml:space="preserve">AT&amp;T (4 bloques de 20 MHz)</x:t>
  </x:si>
  <x:si>
    <x:t xml:space="preserve">INPC sep-2018. 4 bloques x $350,000,000 + $101,288 de precio de asignación.</x:t>
  </x:si>
  <x:si>
    <x:t xml:space="preserve">Pegaso PCS (2 bloques de 20 MHz)</x:t>
  </x:si>
  <x:si>
    <x:t xml:space="preserve">INPC sep-2018. 2 bloques x $350,000,000.</x:t>
  </x:si>
  <x:si>
    <x:t xml:space="preserve">IFT-10</x:t>
  </x:si>
  <x:si>
    <x:t xml:space="preserve">Radiomóvil Dipsa, bloque C1</x:t>
  </x:si>
  <x:si>
    <x:t xml:space="preserve">INPC oct-2021. MHz ponderados: hoja "Bloque C1" (Q1) del original.</x:t>
  </x:si>
  <x:si>
    <x:t xml:space="preserve">AT&amp;T, bloque A1</x:t>
  </x:si>
  <x:si>
    <x:t xml:space="preserve">INPC oct-2021. MHz ponderados: hoja "Bloque A1" (Q1) del original.</x:t>
  </x:si>
  <x:si>
    <x:t xml:space="preserve">AT&amp;T, bloque A9.01</x:t>
  </x:si>
  <x:si>
    <x:t xml:space="preserve">INPC oct-2021. MHz ponderados: hoja "Bloque A9.01" (Q1) del original.</x:t>
  </x:si>
  <x:si>
    <x:t xml:space="preserve">Resultados</x:t>
  </x:si>
  <x:si>
    <x:t xml:space="preserve">Población INEGI 2015 (hab)</x:t>
  </x:si>
  <x:si>
    <x:t xml:space="preserve">MHz/pop referencia nacional, 2.5 GHz (IFT-7 + IFT-10)</x:t>
  </x:si>
  <x:si>
    <x:t xml:space="preserve">Se usa como MHz/pop aplicable en 2.5 GHz (por defecto).</x:t>
  </x:si>
  <x:si>
    <x:t xml:space="preserve">MHz/pop referencia nacional, 800 MHz (IFT-10)</x:t>
  </x:si>
  <x:si>
    <x:t xml:space="preserve">Solo de contraste en 800 MHz (por defecto no se usa en la VMR).</x:t>
  </x:si>
  <x:si>
    <x:t xml:space="preserve">600 MHz: no existe licitación nacional de referencia en el original.</x:t>
  </x:si>
  <x:si>
    <x:t xml:space="preserve">Conciliación contra VMR_5G_2026.xlsx</x:t>
  </x:si>
  <x:si>
    <x:t xml:space="preserve">Tolerancia de diferencia relativa</x:t>
  </x:si>
  <x:si>
    <x:t xml:space="preserve">Celda en VMR_5G_2026.xlsx</x:t>
  </x:si>
  <x:si>
    <x:t xml:space="preserve">Valor original</x:t>
  </x:si>
  <x:si>
    <x:t xml:space="preserve">Valor calculadora</x:t>
  </x:si>
  <x:si>
    <x:t xml:space="preserve">Dif. relativa</x:t>
  </x:si>
  <x:si>
    <x:t xml:space="preserve">Estado</x:t>
  </x:si>
  <x:si>
    <x:t xml:space="preserve">Observación</x:t>
  </x:si>
  <x:si>
    <x:t xml:space="preserve">VP del benchmark (a)</x:t>
  </x:si>
  <x:si>
    <x:t xml:space="preserve">'Benchmark banda 600MHz'!G6</x:t>
  </x:si>
  <x:si>
    <x:t xml:space="preserve">VP de derechos LFD (b)</x:t>
  </x:si>
  <x:si>
    <x:t xml:space="preserve">'Benchmark banda 600MHz'!G5</x:t>
  </x:si>
  <x:si>
    <x:t xml:space="preserve">Diferencia (a)-(b), nov-2025</x:t>
  </x:si>
  <x:si>
    <x:t xml:space="preserve">'Benchmark banda 600MHz'!G7</x:t>
  </x:si>
  <x:si>
    <x:t xml:space="preserve">MHz/pop aplicable (ago-2026)</x:t>
  </x:si>
  <x:si>
    <x:t xml:space="preserve">'Benchmark banda 600MHz'!G8</x:t>
  </x:si>
  <x:si>
    <x:t xml:space="preserve">VMR nacional (MXN)</x:t>
  </x:si>
  <x:si>
    <x:t xml:space="preserve">'Bloques 600 MHz'!E2</x:t>
  </x:si>
  <x:si>
    <x:t xml:space="preserve">Derechos anuales (MXN)</x:t>
  </x:si>
  <x:si>
    <x:t xml:space="preserve">'Bloques 600 MHz'!G2</x:t>
  </x:si>
  <x:si>
    <x:t xml:space="preserve">VP de derechos (MXN)</x:t>
  </x:si>
  <x:si>
    <x:t xml:space="preserve">'Bloques 600 MHz'!H2</x:t>
  </x:si>
  <x:si>
    <x:t xml:space="preserve">VMR (suma de UBS, por bloque de 10 MHz)</x:t>
  </x:si>
  <x:si>
    <x:t xml:space="preserve">SUMA 'Bloques 600 MHz'!J6:J247</x:t>
  </x:si>
  <x:si>
    <x:t xml:space="preserve">Derechos anuales (suma de UBS, por 10 MHz)</x:t>
  </x:si>
  <x:si>
    <x:t xml:space="preserve">SUMA 'Bloques 600 MHz'!K6:K247</x:t>
  </x:si>
  <x:si>
    <x:t xml:space="preserve">El original busca la cuota en la col. K (800/850 MHz) en vez de la L (600 MHz): 540.9 M vs 270.0 M por 10 MHz. La fila nacional G2 sí usa la cuota de 600 MHz. No afecta la VMR.</x:t>
  </x:si>
  <x:si>
    <x:t xml:space="preserve">VP de derechos (suma de UBS, por 10 MHz)</x:t>
  </x:si>
  <x:si>
    <x:t xml:space="preserve">SUMA 'Bloques 600 MHz'!L6:L247</x:t>
  </x:si>
  <x:si>
    <x:t xml:space="preserve">Misma causa que la fila anterior (cuota de 800/850 MHz en lugar de 600 MHz).</x:t>
  </x:si>
  <x:si>
    <x:t xml:space="preserve">'Benchmark banda 800MHz'!G3</x:t>
  </x:si>
  <x:si>
    <x:t xml:space="preserve">'Benchmark banda 800MHz'!G2</x:t>
  </x:si>
  <x:si>
    <x:t xml:space="preserve">'Benchmark banda 800MHz'!G4</x:t>
  </x:si>
  <x:si>
    <x:t xml:space="preserve">'Benchmark banda 800MHz'!G6</x:t>
  </x:si>
  <x:si>
    <x:t xml:space="preserve">Referencia IFT-10 (contraste)</x:t>
  </x:si>
  <x:si>
    <x:t xml:space="preserve">'Benchmark banda 800MHz'!G7</x:t>
  </x:si>
  <x:si>
    <x:t xml:space="preserve">VMR (suma de UBS, MXN)</x:t>
  </x:si>
  <x:si>
    <x:t xml:space="preserve">SUMA 'Bloques 800 MHz'!J6:J240</x:t>
  </x:si>
  <x:si>
    <x:t xml:space="preserve">Diferencia de 0.00002%: el original usa la proporción LFD de 600 MHz (col. N) y no la de 800 MHz (col. O).</x:t>
  </x:si>
  <x:si>
    <x:t xml:space="preserve">Derechos anuales (suma de UBS, MXN)</x:t>
  </x:si>
  <x:si>
    <x:t xml:space="preserve">SUMA 'Bloques 800 MHz'!K6:K240</x:t>
  </x:si>
  <x:si>
    <x:t xml:space="preserve">El original busca la cuota en la col. J (AWS) en vez de la K (800/850 MHz): 0.165% de diferencia. No afecta la VMR.</x:t>
  </x:si>
  <x:si>
    <x:t xml:space="preserve">VP de derechos (suma de UBS, MXN)</x:t>
  </x:si>
  <x:si>
    <x:t xml:space="preserve">SUMA 'Bloques 800 MHz'!L6:L240</x:t>
  </x:si>
  <x:si>
    <x:t xml:space="preserve">Misma causa que la fila anterior (cuota AWS en lugar de 800/850 MHz).</x:t>
  </x:si>
  <x:si>
    <x:t xml:space="preserve">'Benchmark 2.5 GHz'!G5</x:t>
  </x:si>
  <x:si>
    <x:t xml:space="preserve">'Benchmark 2.5 GHz'!G4</x:t>
  </x:si>
  <x:si>
    <x:t xml:space="preserve">'Benchmark 2.5 GHz'!G6</x:t>
  </x:si>
  <x:si>
    <x:t xml:space="preserve">Diferencia actualizada, ago-2026</x:t>
  </x:si>
  <x:si>
    <x:t xml:space="preserve">'Benchmark 2.5 GHz'!G7</x:t>
  </x:si>
  <x:si>
    <x:t xml:space="preserve">MHz/pop aplicable = referencia nacional</x:t>
  </x:si>
  <x:si>
    <x:t xml:space="preserve">'Benchmark 2.5 GHz'!G8</x:t>
  </x:si>
  <x:si>
    <x:t xml:space="preserve">'Bloques 2.5GHz'!E2</x:t>
  </x:si>
  <x:si>
    <x:t xml:space="preserve">'Bloques 2.5GHz'!F2</x:t>
  </x:si>
  <x:si>
    <x:t xml:space="preserve">'Bloques 2.5GHz'!G2</x:t>
  </x:si>
  <x:si>
    <x:t xml:space="preserve">Resumen</x:t>
  </x:si>
</x:sst>
</file>

<file path=xl/styles.xml><?xml version="1.0" encoding="utf-8"?>
<x:styleSheet xmlns:x="http://schemas.openxmlformats.org/spreadsheetml/2006/main">
  <x:numFmts count="17">
    <x:numFmt numFmtId="164" formatCode="General"/>
    <x:numFmt numFmtId="165" formatCode="0.00%"/>
    <x:numFmt numFmtId="166" formatCode="0"/>
    <x:numFmt numFmtId="167" formatCode="0.000"/>
    <x:numFmt numFmtId="168" formatCode="#,##0"/>
    <x:numFmt numFmtId="169" formatCode="#,##0.00"/>
    <x:numFmt numFmtId="170" formatCode="0.000000"/>
    <x:numFmt numFmtId="171" formatCode="0.0000;\(0.0000\);\-"/>
    <x:numFmt numFmtId="172" formatCode="#,##0;\(#,##0\);\-"/>
    <x:numFmt numFmtId="173" formatCode="0.0000"/>
    <x:numFmt numFmtId="174" formatCode="0.0000%"/>
    <x:numFmt numFmtId="175" formatCode="#,##0.0000"/>
    <x:numFmt numFmtId="176" formatCode="#,##0.0000;\(#,##0.0000\);\-"/>
    <x:numFmt numFmtId="177" formatCode="0.00000%;\(0.00000%\);\-"/>
    <x:numFmt numFmtId="200" formatCode="0.0%"/>
    <x:numFmt numFmtId="201" formatCode="0%"/>
    <x:numFmt numFmtId="202" formatCode="&quot;$&quot;#,##0.00"/>
  </x:numFmts>
  <x:fonts count="23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8000"/>
      <x:name val="Arial"/>
    </x:font>
    <x:font>
      <x:b/>
      <x:sz val="11"/>
      <x:color rgb="FFFFFFFF"/>
      <x:name val="Arial"/>
    </x:font>
    <x:font>
      <x:b/>
      <x:sz val="11"/>
      <x:color rgb="FF1F3864"/>
      <x:name val="Arial"/>
    </x:font>
    <x:font>
      <x:b/>
      <x:sz val="10"/>
      <x:color rgb="FF1F3864"/>
      <x:name val="Arial"/>
    </x:font>
    <x:font>
      <x:b/>
      <x:sz val="10"/>
      <x:color rgb="FFFFFFFF"/>
      <x:name val="Arial"/>
    </x:font>
    <x:font>
      <x:b/>
      <x:sz val="10"/>
      <x:color rgb="FF595959"/>
      <x:name val="Arial"/>
    </x:font>
    <x:font>
      <x:sz val="10"/>
      <x:color rgb="FF595959"/>
      <x:name val="Arial"/>
    </x:font>
    <x:font>
      <x:sz val="10"/>
      <x:name val="Arial"/>
      <x:family val="2"/>
    </x:font>
    <x:font>
      <x:sz val="10"/>
      <x:color rgb="FF222222"/>
      <x:name val="Arial"/>
      <x:family val="2"/>
    </x:font>
    <x:font>
      <x:b/>
      <x:sz val="14"/>
      <x:color rgb="FF203864"/>
      <x:name val="Arial"/>
      <x:family val="2"/>
    </x:font>
    <x:font>
      <x:b/>
      <x:sz val="10"/>
      <x:color rgb="FF222222"/>
      <x:name val="Arial"/>
      <x:family val="2"/>
    </x:font>
    <x:font>
      <x:sz val="10"/>
      <x:color rgb="FF0000FF"/>
      <x:name val="Arial"/>
      <x:family val="2"/>
    </x:font>
    <x:font>
      <x:b/>
      <x:sz val="10"/>
      <x:color rgb="FFFFFFFF"/>
      <x:name val="Arial"/>
      <x:family val="2"/>
    </x:font>
    <x:font>
      <x:i/>
      <x:sz val="10"/>
      <x:color rgb="FF666666"/>
      <x:name val="Arial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203864"/>
      </x:patternFill>
    </x:fill>
    <x:fill>
      <x:patternFill patternType="solid">
        <x:fgColor rgb="FFFFFF00"/>
      </x:patternFill>
    </x:fill>
    <x:fill>
      <x:patternFill patternType="solid">
        <x:fgColor rgb="FFE2F0D9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0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1">
      <x:alignment horizontal="general" vertical="bottom" wrapText="0" shrinkToFit="0"/>
      <x:protection locked="1" hidden="0"/>
    </x:xf>
    <x:xf numFmtId="164" fontId="4" fillId="0" borderId="0" xf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xfId="0" applyFont="1" applyBorder="1" applyAlignment="1" applyProtection="1">
      <x:alignment horizontal="general" vertical="top" wrapText="1" shrinkToFit="0"/>
      <x:protection locked="1" hidden="0"/>
    </x:xf>
    <x:xf numFmtId="164" fontId="6" fillId="0" borderId="0" xfId="0" applyFont="1" applyBorder="0" applyAlignment="1" applyProtection="1">
      <x:alignment horizontal="right" vertical="center" wrapText="0" shrinkToFit="0"/>
      <x:protection locked="1" hidden="0"/>
    </x:xf>
    <x:xf numFmtId="164" fontId="7" fillId="2" borderId="1" xfId="0" applyFont="1" applyBorder="1" applyAlignment="1" applyProtection="1">
      <x:alignment horizontal="center" vertical="center" wrapText="0" shrinkToFit="0"/>
      <x:protection locked="1" hidden="0"/>
    </x:xf>
    <x:xf numFmtId="164" fontId="8" fillId="0" borderId="1" xfId="0" applyFont="1" applyBorder="1" applyAlignment="1" applyProtection="1">
      <x:alignment horizontal="center" vertical="center" wrapText="0" shrinkToFit="0"/>
      <x:protection locked="1" hidden="0"/>
    </x:xf>
    <x:xf numFmtId="164" fontId="9" fillId="0" borderId="1" xfId="0" applyFont="1" applyBorder="1" applyAlignment="1" applyProtection="1">
      <x:alignment horizontal="center" vertical="center" wrapText="0" shrinkToFit="0"/>
      <x:protection locked="1" hidden="0"/>
    </x:xf>
    <x:xf numFmtId="164" fontId="6" fillId="3" borderId="1" xfId="0" applyFont="1" applyBorder="1" applyAlignment="1" applyProtection="1">
      <x:alignment horizontal="center" vertical="center" wrapText="0" shrinkToFit="0"/>
      <x:protection locked="1" hidden="0"/>
    </x:xf>
    <x:xf numFmtId="164" fontId="10" fillId="4" borderId="0" xfId="0" applyFont="1" applyBorder="1" applyAlignment="1" applyProtection="1">
      <x:alignment horizontal="general" vertical="center" wrapText="0" shrinkToFit="0"/>
      <x:protection locked="1" hidden="0"/>
    </x:xf>
    <x:xf numFmtId="164" fontId="6" fillId="5" borderId="1" xfId="0" applyFont="1" applyBorder="1" applyAlignment="1" applyProtection="1">
      <x:alignment horizontal="center" vertical="center" wrapText="1" shrinkToFit="0"/>
      <x:protection locked="1" hidden="0"/>
    </x:xf>
    <x:xf numFmtId="164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65" fontId="7" fillId="2" borderId="1" xfId="0" applyFont="1" applyBorder="1" applyAlignment="1" applyProtection="1">
      <x:alignment horizontal="general" vertical="center" wrapText="0" shrinkToFit="0"/>
      <x:protection locked="1" hidden="0"/>
    </x:xf>
    <x:xf numFmtId="164" fontId="5" fillId="0" borderId="1" xfId="0" applyFont="1" applyBorder="1" applyAlignment="1" applyProtection="1">
      <x:alignment horizontal="general" vertical="center" wrapText="1" shrinkToFit="0"/>
      <x:protection locked="1" hidden="0"/>
    </x:xf>
    <x:xf numFmtId="166" fontId="7" fillId="2" borderId="1" xfId="0" applyFont="1" applyBorder="1" applyAlignment="1" applyProtection="1">
      <x:alignment horizontal="general" vertical="center" wrapText="0" shrinkToFit="0"/>
      <x:protection locked="1" hidden="0"/>
    </x:xf>
    <x:xf numFmtId="167" fontId="7" fillId="2" borderId="1" xfId="0" applyFont="1" applyBorder="1" applyAlignment="1" applyProtection="1">
      <x:alignment horizontal="general" vertical="center" wrapText="0" shrinkToFit="0"/>
      <x:protection locked="1" hidden="0"/>
    </x:xf>
    <x:xf numFmtId="168" fontId="9" fillId="0" borderId="1" xfId="0" applyFont="1" applyBorder="1" applyAlignment="1" applyProtection="1">
      <x:alignment horizontal="general" vertical="center" wrapText="0" shrinkToFit="0"/>
      <x:protection locked="1" hidden="0"/>
    </x:xf>
    <x:xf numFmtId="169" fontId="7" fillId="2" borderId="1" xfId="0" applyFont="1" applyBorder="1" applyAlignment="1" applyProtection="1">
      <x:alignment horizontal="general" vertical="center" wrapText="0" shrinkToFit="0"/>
      <x:protection locked="1" hidden="0"/>
    </x:xf>
    <x:xf numFmtId="170" fontId="9" fillId="0" borderId="1" xfId="0" applyFont="1" applyBorder="1" applyAlignment="1" applyProtection="1">
      <x:alignment horizontal="general" vertical="center" wrapText="0" shrinkToFit="0"/>
      <x:protection locked="1" hidden="0"/>
    </x:xf>
    <x:xf numFmtId="166" fontId="9" fillId="0" borderId="1" xfId="0" applyFont="1" applyBorder="1" applyAlignment="1" applyProtection="1">
      <x:alignment horizontal="right" vertical="center" wrapText="0" shrinkToFit="0"/>
      <x:protection locked="1" hidden="0"/>
    </x:xf>
    <x:xf numFmtId="171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72" fontId="9" fillId="0" borderId="1" xfId="0" applyFont="1" applyBorder="1" applyAlignment="1" applyProtection="1">
      <x:alignment horizontal="general" vertical="center" wrapText="0" shrinkToFit="0"/>
      <x:protection locked="1" hidden="0"/>
    </x:xf>
    <x:xf numFmtId="173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64" fontId="5" fillId="0" borderId="1" xfId="0" applyFont="1" applyBorder="1" applyAlignment="1" applyProtection="1">
      <x:alignment horizontal="right" vertical="center" wrapText="0" shrinkToFit="0"/>
      <x:protection locked="1" hidden="0"/>
    </x:xf>
    <x:xf numFmtId="171" fontId="9" fillId="0" borderId="1" xfId="0" applyFont="1" applyBorder="1" applyAlignment="1" applyProtection="1">
      <x:alignment horizontal="general" vertical="center" wrapText="0" shrinkToFit="0"/>
      <x:protection locked="1" hidden="0"/>
    </x:xf>
    <x:xf numFmtId="164" fontId="6" fillId="3" borderId="1" xfId="0" applyFont="1" applyBorder="1" applyAlignment="1" applyProtection="1">
      <x:alignment horizontal="general" vertical="center" wrapText="0" shrinkToFit="0"/>
      <x:protection locked="1" hidden="0"/>
    </x:xf>
    <x:xf numFmtId="171" fontId="6" fillId="3" borderId="1" xfId="0" applyFont="1" applyBorder="1" applyAlignment="1" applyProtection="1">
      <x:alignment horizontal="general" vertical="center" wrapText="0" shrinkToFit="0"/>
      <x:protection locked="1" hidden="0"/>
    </x:xf>
    <x:xf numFmtId="165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72" fontId="6" fillId="3" borderId="1" xfId="0" applyFont="1" applyBorder="1" applyAlignment="1" applyProtection="1">
      <x:alignment horizontal="general" vertical="center" wrapText="0" shrinkToFit="0"/>
      <x:protection locked="1" hidden="0"/>
    </x:xf>
    <x:xf numFmtId="164" fontId="11" fillId="0" borderId="0" xfId="0" applyFont="1" applyBorder="1" applyAlignment="1" applyProtection="1">
      <x:alignment horizontal="general" vertical="bottom" wrapText="0" shrinkToFit="0"/>
      <x:protection locked="1" hidden="0"/>
    </x:xf>
    <x:xf numFmtId="164" fontId="12" fillId="0" borderId="0" xfId="0" applyFont="1" applyBorder="1" applyAlignment="1" applyProtection="1">
      <x:alignment horizontal="general" vertical="bottom" wrapText="0" shrinkToFit="0"/>
      <x:protection locked="1" hidden="0"/>
    </x:xf>
    <x:xf numFmtId="164" fontId="6" fillId="6" borderId="1" xfId="0" applyFont="1" applyBorder="1" applyAlignment="1" applyProtection="1">
      <x:alignment horizontal="center" vertical="center" wrapText="1" shrinkToFit="0"/>
      <x:protection locked="1" hidden="0"/>
    </x:xf>
    <x:xf numFmtId="164" fontId="8" fillId="0" borderId="1" xfId="0" applyFont="1" applyBorder="1" applyAlignment="1" applyProtection="1">
      <x:alignment horizontal="general" vertical="center" wrapText="1" shrinkToFit="0"/>
      <x:protection locked="1" hidden="0"/>
    </x:xf>
    <x:xf numFmtId="164" fontId="8" fillId="0" borderId="1" xfId="0" applyFont="1" applyBorder="1" applyAlignment="1" applyProtection="1">
      <x:alignment horizontal="center" vertical="center" wrapText="1" shrinkToFit="0"/>
      <x:protection locked="1" hidden="0"/>
    </x:xf>
    <x:xf numFmtId="164" fontId="6" fillId="7" borderId="1" xfId="0" applyFont="1" applyBorder="1" applyAlignment="1" applyProtection="1">
      <x:alignment horizontal="center" vertical="center" wrapText="1" shrinkToFit="0"/>
      <x:protection locked="1" hidden="0"/>
    </x:xf>
    <x:xf numFmtId="164" fontId="6" fillId="3" borderId="1" xfId="0" applyFont="1" applyBorder="1" applyAlignment="1" applyProtection="1">
      <x:alignment horizontal="center" vertical="center" wrapText="1" shrinkToFit="0"/>
      <x:protection locked="1" hidden="0"/>
    </x:xf>
    <x:xf numFmtId="164" fontId="8" fillId="0" borderId="0" xfId="0" applyFont="1" applyBorder="1" applyAlignment="1" applyProtection="1">
      <x:alignment horizontal="general" vertical="top" wrapText="1" shrinkToFit="0"/>
      <x:protection locked="1" hidden="0"/>
    </x:xf>
    <x:xf numFmtId="164" fontId="13" fillId="4" borderId="0" xfId="0" applyFont="1" applyBorder="1" applyAlignment="1" applyProtection="1">
      <x:alignment horizontal="center" vertical="center" wrapText="0" shrinkToFit="0"/>
      <x:protection locked="1" hidden="0"/>
    </x:xf>
    <x:xf numFmtId="164" fontId="6" fillId="0" borderId="1" xfId="0" applyFont="1" applyBorder="1" applyAlignment="1" applyProtection="1">
      <x:alignment horizontal="center" vertical="center" wrapText="0" shrinkToFit="0"/>
      <x:protection locked="1" hidden="0"/>
    </x:xf>
    <x:xf numFmtId="168" fontId="6" fillId="0" borderId="1" xfId="0" applyFont="1" applyBorder="1" applyAlignment="1" applyProtection="1">
      <x:alignment horizontal="general" vertical="center" wrapText="0" shrinkToFit="0"/>
      <x:protection locked="1" hidden="0"/>
    </x:xf>
    <x:xf numFmtId="172" fontId="6" fillId="0" borderId="1" xfId="0" applyFont="1" applyBorder="1" applyAlignment="1" applyProtection="1">
      <x:alignment horizontal="general" vertical="center" wrapText="0" shrinkToFit="0"/>
      <x:protection locked="1" hidden="0"/>
    </x:xf>
    <x:xf numFmtId="172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70" fontId="7" fillId="0" borderId="1" xfId="0" applyFont="1" applyBorder="1" applyAlignment="1" applyProtection="1">
      <x:alignment horizontal="general" vertical="center" wrapText="0" shrinkToFit="0"/>
      <x:protection locked="1" hidden="0"/>
    </x:xf>
    <x:xf numFmtId="166" fontId="7" fillId="2" borderId="1" xfId="0" applyFont="1" applyBorder="1" applyAlignment="1" applyProtection="1">
      <x:alignment horizontal="center" vertical="center" wrapText="0" shrinkToFit="0"/>
      <x:protection locked="1" hidden="0"/>
    </x:xf>
    <x:xf numFmtId="170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66" fontId="8" fillId="0" borderId="1" xfId="0" applyFont="1" applyBorder="1" applyAlignment="1" applyProtection="1">
      <x:alignment horizontal="center" vertical="center" wrapText="0" shrinkToFit="0"/>
      <x:protection locked="1" hidden="0"/>
    </x:xf>
    <x:xf numFmtId="170" fontId="6" fillId="3" borderId="1" xfId="0" applyFont="1" applyBorder="1" applyAlignment="1" applyProtection="1">
      <x:alignment horizontal="general" vertical="center" wrapText="0" shrinkToFit="0"/>
      <x:protection locked="1" hidden="0"/>
    </x:xf>
    <x:xf numFmtId="168" fontId="7" fillId="0" borderId="1" xfId="0" applyFont="1" applyBorder="1" applyAlignment="1" applyProtection="1">
      <x:alignment horizontal="general" vertical="center" wrapText="0" shrinkToFit="0"/>
      <x:protection locked="1" hidden="0"/>
    </x:xf>
    <x:xf numFmtId="169" fontId="7" fillId="0" borderId="1" xfId="0" applyFont="1" applyBorder="1" applyAlignment="1" applyProtection="1">
      <x:alignment horizontal="general" vertical="center" wrapText="0" shrinkToFit="0"/>
      <x:protection locked="1" hidden="0"/>
    </x:xf>
    <x:xf numFmtId="174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65" fontId="6" fillId="0" borderId="1" xfId="0" applyFont="1" applyBorder="1" applyAlignment="1" applyProtection="1">
      <x:alignment horizontal="general" vertical="center" wrapText="0" shrinkToFit="0"/>
      <x:protection locked="1" hidden="0"/>
    </x:xf>
    <x:xf numFmtId="169" fontId="6" fillId="0" borderId="1" xfId="0" applyFont="1" applyBorder="1" applyAlignment="1" applyProtection="1">
      <x:alignment horizontal="general" vertical="center" wrapText="0" shrinkToFit="0"/>
      <x:protection locked="1" hidden="0"/>
    </x:xf>
    <x:xf numFmtId="174" fontId="6" fillId="0" borderId="1" xfId="0" applyFont="1" applyBorder="1" applyAlignment="1" applyProtection="1">
      <x:alignment horizontal="general" vertical="center" wrapText="0" shrinkToFit="0"/>
      <x:protection locked="1" hidden="0"/>
    </x:xf>
    <x:xf numFmtId="164" fontId="14" fillId="0" borderId="0" xfId="0" applyFont="1" applyBorder="1" applyAlignment="1" applyProtection="1">
      <x:alignment horizontal="general" vertical="top" wrapText="1" shrinkToFit="0"/>
      <x:protection locked="1" hidden="0"/>
    </x:xf>
    <x:xf numFmtId="164" fontId="15" fillId="0" borderId="0" xfId="0" applyFont="1" applyBorder="1" applyAlignment="1" applyProtection="1">
      <x:alignment horizontal="general" vertical="top" wrapText="1" shrinkToFit="0"/>
      <x:protection locked="1" hidden="0"/>
    </x:xf>
    <x:xf numFmtId="175" fontId="7" fillId="0" borderId="1" xfId="0" applyFont="1" applyBorder="1" applyAlignment="1" applyProtection="1">
      <x:alignment horizontal="general" vertical="center" wrapText="0" shrinkToFit="0"/>
      <x:protection locked="1" hidden="0"/>
    </x:xf>
    <x:xf numFmtId="172" fontId="7" fillId="0" borderId="1" xfId="0" applyFont="1" applyBorder="1" applyAlignment="1" applyProtection="1">
      <x:alignment horizontal="general" vertical="center" wrapText="0" shrinkToFit="0"/>
      <x:protection locked="1" hidden="0"/>
    </x:xf>
    <x:xf numFmtId="167" fontId="7" fillId="0" borderId="1" xfId="0" applyFont="1" applyBorder="1" applyAlignment="1" applyProtection="1">
      <x:alignment horizontal="general" vertical="center" wrapText="0" shrinkToFit="0"/>
      <x:protection locked="1" hidden="0"/>
    </x:xf>
    <x:xf numFmtId="164" fontId="5" fillId="0" borderId="0" xfId="0" applyFont="1" applyBorder="1" applyAlignment="1" applyProtection="1">
      <x:alignment horizontal="general" vertical="center" wrapText="0" shrinkToFit="0"/>
      <x:protection locked="1" hidden="0"/>
    </x:xf>
    <x:xf numFmtId="164" fontId="6" fillId="0" borderId="1" xfId="0" applyFont="1" applyBorder="1" applyAlignment="1" applyProtection="1">
      <x:alignment horizontal="general" vertical="center" wrapText="0" shrinkToFit="0"/>
      <x:protection locked="1" hidden="0"/>
    </x:xf>
    <x:xf numFmtId="174" fontId="7" fillId="2" borderId="1" xfId="0" applyFont="1" applyBorder="1" applyAlignment="1" applyProtection="1">
      <x:alignment horizontal="left" vertical="center" wrapText="0" shrinkToFit="0"/>
      <x:protection locked="1" hidden="0"/>
    </x:xf>
    <x:xf numFmtId="164" fontId="5" fillId="0" borderId="1" xfId="0" applyFont="1" applyBorder="1" applyAlignment="1" applyProtection="1">
      <x:alignment horizontal="general" vertical="center" wrapText="0" shrinkToFit="0"/>
      <x:protection locked="1" hidden="0"/>
    </x:xf>
    <x:xf numFmtId="171" fontId="7" fillId="0" borderId="1" xfId="0" applyFont="1" applyBorder="1" applyAlignment="1" applyProtection="1">
      <x:alignment horizontal="general" vertical="center" wrapText="0" shrinkToFit="0"/>
      <x:protection locked="1" hidden="0"/>
    </x:xf>
    <x:xf numFmtId="176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77" fontId="8" fillId="0" borderId="1" xfId="0" applyFont="1" applyBorder="1" applyAlignment="1" applyProtection="1">
      <x:alignment horizontal="general" vertical="center" wrapText="0" shrinkToFit="0"/>
      <x:protection locked="1" hidden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center" wrapText="0"/>
    </x:xf>
    <x:xf numFmtId="164" fontId="18" fillId="0" borderId="0" xfId="0" applyNumberFormat="1" applyFont="1" applyFill="1" applyBorder="1" applyAlignment="1">
      <x:alignment horizontal="general" vertical="center" wrapText="0"/>
    </x:xf>
    <x:xf numFmtId="164" fontId="17" fillId="8" borderId="0" xfId="0" applyNumberFormat="1" applyFont="1" applyFill="1" applyBorder="1" applyAlignment="1">
      <x:alignment horizontal="general" vertical="center" wrapText="0"/>
    </x:xf>
    <x:xf numFmtId="164" fontId="19" fillId="8" borderId="0" xfId="0" applyNumberFormat="1" applyFont="1" applyFill="1" applyBorder="1" applyAlignment="1">
      <x:alignment horizontal="general" vertical="center" wrapText="0"/>
    </x:xf>
    <x:xf numFmtId="164" fontId="19" fillId="8" borderId="0" xfId="0" applyNumberFormat="1" applyFont="1" applyFill="1" applyBorder="1" applyAlignment="1">
      <x:alignment horizontal="general" vertical="center" wrapText="1"/>
    </x:xf>
    <x:xf numFmtId="169" fontId="17" fillId="0" borderId="0" xfId="0" applyNumberFormat="1" applyFont="1" applyFill="1" applyBorder="1" applyAlignment="1">
      <x:alignment horizontal="general" vertical="center" wrapText="0"/>
    </x:xf>
    <x:xf numFmtId="169" fontId="20" fillId="0" borderId="0" xfId="0" applyNumberFormat="1" applyFont="1" applyFill="1" applyBorder="1" applyAlignment="1">
      <x:alignment horizontal="general" vertical="center" wrapText="0"/>
    </x:xf>
    <x:xf numFmtId="164" fontId="17" fillId="9" borderId="0" xfId="0" applyNumberFormat="1" applyFont="1" applyFill="1" applyBorder="1" applyAlignment="1">
      <x:alignment horizontal="general" vertical="center" wrapText="0"/>
    </x:xf>
    <x:xf numFmtId="164" fontId="21" fillId="9" borderId="0" xfId="0" applyNumberFormat="1" applyFont="1" applyFill="1" applyBorder="1" applyAlignment="1">
      <x:alignment horizontal="general" vertical="center" wrapText="0"/>
    </x:xf>
    <x:xf numFmtId="164" fontId="17" fillId="10" borderId="0" xfId="0" applyNumberFormat="1" applyFont="1" applyFill="1" applyBorder="1" applyAlignment="1">
      <x:alignment horizontal="general" vertical="center" wrapText="0"/>
    </x:xf>
    <x:xf numFmtId="164" fontId="20" fillId="10" borderId="0" xfId="0" applyNumberFormat="1" applyFont="1" applyFill="1" applyBorder="1" applyAlignment="1">
      <x:alignment horizontal="general" vertical="center" wrapText="0"/>
    </x:xf>
    <x:xf numFmtId="200" fontId="20" fillId="10" borderId="0" xfId="0" applyNumberFormat="1" applyFont="1" applyFill="1" applyBorder="1" applyAlignment="1">
      <x:alignment horizontal="general" vertical="center" wrapText="0"/>
    </x:xf>
    <x:xf numFmtId="169" fontId="20" fillId="10" borderId="0" xfId="0" applyNumberFormat="1" applyFont="1" applyFill="1" applyBorder="1" applyAlignment="1">
      <x:alignment horizontal="general" vertical="center" wrapText="0"/>
    </x:xf>
    <x:xf numFmtId="201" fontId="17" fillId="0" borderId="0" xfId="0" applyNumberFormat="1" applyFont="1" applyFill="1" applyBorder="1" applyAlignment="1">
      <x:alignment horizontal="general" vertical="center" wrapText="0"/>
    </x:xf>
    <x:xf numFmtId="201" fontId="20" fillId="10" borderId="0" xfId="0" applyNumberFormat="1" applyFont="1" applyFill="1" applyBorder="1" applyAlignment="1">
      <x:alignment horizontal="general" vertical="center" wrapText="0"/>
    </x:xf>
    <x:xf numFmtId="202" fontId="17" fillId="0" borderId="0" xfId="0" applyNumberFormat="1" applyFont="1" applyFill="1" applyBorder="1" applyAlignment="1">
      <x:alignment horizontal="general" vertical="center" wrapText="0"/>
    </x:xf>
    <x:xf numFmtId="168" fontId="17" fillId="0" borderId="0" xfId="0" applyNumberFormat="1" applyFont="1" applyFill="1" applyBorder="1" applyAlignment="1">
      <x:alignment horizontal="general" vertical="center" wrapText="0"/>
    </x:xf>
    <x:xf numFmtId="164" fontId="17" fillId="11" borderId="0" xfId="0" applyNumberFormat="1" applyFont="1" applyFill="1" applyBorder="1" applyAlignment="1">
      <x:alignment horizontal="general" vertical="center" wrapText="0"/>
    </x:xf>
    <x:xf numFmtId="202" fontId="17" fillId="11" borderId="0" xfId="0" applyNumberFormat="1" applyFont="1" applyFill="1" applyBorder="1" applyAlignment="1">
      <x:alignment horizontal="general" vertical="center" wrapText="0"/>
    </x:xf>
    <x:xf numFmtId="168" fontId="17" fillId="11" borderId="0" xfId="0" applyNumberFormat="1" applyFont="1" applyFill="1" applyBorder="1" applyAlignment="1">
      <x:alignment horizontal="general" vertical="center" wrapText="0"/>
    </x:xf>
    <x:xf numFmtId="202" fontId="19" fillId="11" borderId="0" xfId="0" applyNumberFormat="1" applyFont="1" applyFill="1" applyBorder="1" applyAlignment="1">
      <x:alignment horizontal="general" vertical="center" wrapText="0"/>
    </x:xf>
    <x:xf numFmtId="168" fontId="19" fillId="11" borderId="0" xfId="0" applyNumberFormat="1" applyFont="1" applyFill="1" applyBorder="1" applyAlignment="1">
      <x:alignment horizontal="general" vertical="center" wrapText="0"/>
    </x:xf>
    <x:xf numFmtId="201" fontId="6" fillId="3" borderId="1" xfId="0" applyNumberFormat="1" applyFont="1" applyFill="1" applyBorder="1" applyAlignment="1">
      <x:alignment horizontal="general" vertical="center" wrapText="0"/>
    </x:xf>
    <x:xf numFmtId="164" fontId="22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F2F2F2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A6A6A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890e0c9e442b4" /><Relationship Type="http://schemas.openxmlformats.org/officeDocument/2006/relationships/theme" Target="/xl/theme/theme1.xml" Id="R9afdf41e9b624b29" /><Relationship Type="http://schemas.openxmlformats.org/officeDocument/2006/relationships/sharedStrings" Target="/xl/sharedStrings.xml" Id="Rc5ae16754ba74f55" /><Relationship Type="http://schemas.openxmlformats.org/officeDocument/2006/relationships/worksheet" Target="/xl/worksheets/sheet1.xml" Id="Re81eff3f47194f72" /><Relationship Type="http://schemas.openxmlformats.org/officeDocument/2006/relationships/worksheet" Target="/xl/worksheets/sheet2.xml" Id="Re61d364d8eb043b6" /><Relationship Type="http://schemas.openxmlformats.org/officeDocument/2006/relationships/worksheet" Target="/xl/worksheets/sheet3.xml" Id="Rc2780fbe0b664dc3" /><Relationship Type="http://schemas.openxmlformats.org/officeDocument/2006/relationships/worksheet" Target="/xl/worksheets/sheet4.xml" Id="Rcf11d7d29d4645fc" /><Relationship Type="http://schemas.openxmlformats.org/officeDocument/2006/relationships/worksheet" Target="/xl/worksheets/sheet5.xml" Id="R7282a8c9a3bc45dd" /><Relationship Type="http://schemas.openxmlformats.org/officeDocument/2006/relationships/worksheet" Target="/xl/worksheets/sheet6.xml" Id="Ra8760b60b15d4c4d" /><Relationship Type="http://schemas.openxmlformats.org/officeDocument/2006/relationships/worksheet" Target="/xl/worksheets/sheet7.xml" Id="R64e3f789d13b4f7b" /><Relationship Type="http://schemas.openxmlformats.org/officeDocument/2006/relationships/worksheet" Target="/xl/worksheets/sheet8.xml" Id="Rcee1736938884fa5" /><Relationship Type="http://schemas.openxmlformats.org/officeDocument/2006/relationships/worksheet" Target="/xl/worksheets/sheet9.xml" Id="R2518b150cb224032" /><Relationship Type="http://schemas.microsoft.com/office/2017/10/relationships/person" Target="/xl/persons/person.xml" Id="R9dfd5e062dbd4d26" /></Relationships>
</file>

<file path=xl/persons/person.xml><?xml version="1.0" encoding="utf-8"?>
<xltc:personList xmlns:xltc="http://schemas.microsoft.com/office/spreadsheetml/2018/threadedcomments">
  <xltc:person displayName="Unknown Author" id="{41289582-46C1-5BE9-2593-74CBB03B08E5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36c40b8617f346d6" /><Relationship Type="http://schemas.openxmlformats.org/officeDocument/2006/relationships/vmlDrawing" Target="/xl/drawings/vmldrawing.vml" Id="R18be11491f364e8f" /></Relationships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>
      <x:pane xSplit="2" ySplit="6" topLeftCell="C7" activePane="bottomRight" state="frozen"/>
    </x:sheetView>
  </x:sheetViews>
  <x:sheetFormatPr defaultColWidth="8.6796875" defaultRowHeight="15"/>
  <x:cols>
    <x:col min="1" max="1" width="2" style="1" hidden="0" customWidth="1"/>
    <x:col min="2" max="2" width="56" style="1" hidden="0" customWidth="1"/>
    <x:col min="3" max="5" width="19" style="1" hidden="0" customWidth="1"/>
    <x:col min="6" max="6" width="15" style="1" hidden="0" customWidth="1"/>
    <x:col min="7" max="7" width="78" style="1" hidden="0" customWidth="1"/>
  </x:cols>
  <x:sheetData>
    <x:row r="1" ht="24" hidden="0" customHeight="1">
      <x:c r="A1" s="2" t="s">
        <x:v>0</x:v>
      </x:c>
      <x:c r="B1" s="2"/>
      <x:c r="C1" s="2"/>
      <x:c r="D1" s="2"/>
      <x:c r="E1" s="2"/>
      <x:c r="F1" s="2"/>
      <x:c r="G1" s="2"/>
    </x:row>
    <x:row r="2" ht="38" hidden="0" customHeight="1">
      <x:c r="A2" s="3" t="str">
        <x:v>Actualizada con el cuadro de descuentos del 15 oct. Cuotas base verificadas; benchmark, INPC, población y VMR conservan la base anterior. Nuevo módulo: Descuentos. La reducción LFD se presenta por separado en la sección 4.</x:v>
      </x:c>
      <x:c r="B2" s="3"/>
      <x:c r="C2" s="3"/>
      <x:c r="D2" s="3"/>
      <x:c r="E2" s="3"/>
      <x:c r="F2" s="3"/>
      <x:c r="G2" s="3"/>
    </x:row>
    <x:row r="3" ht="18" hidden="0" customHeight="1">
      <x:c r="B3" s="4" t="s">
        <x:v>1</x:v>
      </x:c>
      <x:c r="C3" s="5" t="s">
        <x:v>2</x:v>
      </x:c>
      <x:c r="D3" s="6" t="s">
        <x:v>3</x:v>
      </x:c>
      <x:c r="E3" s="7" t="s">
        <x:v>4</x:v>
      </x:c>
      <x:c r="F3" s="8" t="s">
        <x:v>5</x:v>
      </x:c>
    </x:row>
    <x:row r="5" ht="19.5" hidden="0" customHeight="1">
      <x:c r="B5" s="9" t="s">
        <x:v>6</x:v>
      </x:c>
      <x:c r="C5" s="9"/>
      <x:c r="D5" s="9"/>
      <x:c r="E5" s="9"/>
      <x:c r="F5" s="9"/>
      <x:c r="G5" s="9"/>
    </x:row>
    <x:row r="6" ht="15" hidden="0">
      <x:c r="B6" s="10" t="s">
        <x:v>7</x:v>
      </x:c>
      <x:c r="C6" s="10" t="s">
        <x:v>8</x:v>
      </x:c>
      <x:c r="D6" s="10"/>
      <x:c r="E6" s="10"/>
      <x:c r="F6" s="10" t="s">
        <x:v>9</x:v>
      </x:c>
      <x:c r="G6" s="10" t="s">
        <x:v>10</x:v>
      </x:c>
    </x:row>
    <x:row r="7" ht="18" hidden="0" customHeight="1">
      <x:c r="B7" s="11" t="s">
        <x:v>11</x:v>
      </x:c>
      <x:c r="C7" s="12" t="n">
        <x:v>0.1</x:v>
      </x:c>
      <x:c r="D7" s="11"/>
      <x:c r="E7" s="11"/>
      <x:c r="F7" s="6" t="s">
        <x:v>12</x:v>
      </x:c>
      <x:c r="G7" s="13" t="s">
        <x:v>13</x:v>
      </x:c>
    </x:row>
    <x:row r="8" ht="31.5" hidden="0" customHeight="1">
      <x:c r="B8" s="11" t="s">
        <x:v>14</x:v>
      </x:c>
      <x:c r="C8" s="12" t="n">
        <x:v>0.1011</x:v>
      </x:c>
      <x:c r="D8" s="11"/>
      <x:c r="E8" s="11"/>
      <x:c r="F8" s="6" t="s">
        <x:v>12</x:v>
      </x:c>
      <x:c r="G8" s="13" t="s">
        <x:v>15</x:v>
      </x:c>
    </x:row>
    <x:row r="9" ht="18" hidden="0" customHeight="1">
      <x:c r="B9" s="11" t="s">
        <x:v>16</x:v>
      </x:c>
      <x:c r="C9" s="14" t="n">
        <x:v>20</x:v>
      </x:c>
      <x:c r="D9" s="11"/>
      <x:c r="E9" s="11"/>
      <x:c r="F9" s="6" t="s">
        <x:v>17</x:v>
      </x:c>
      <x:c r="G9" s="13" t="s">
        <x:v>18</x:v>
      </x:c>
    </x:row>
    <x:row r="10" ht="18" hidden="0" customHeight="1">
      <x:c r="B10" s="11" t="str">
        <x:v>INPC base VMR (noviembre 2025)</x:v>
      </x:c>
      <x:c r="C10" s="15" t="n">
        <x:v>142.645</x:v>
      </x:c>
      <x:c r="D10" s="11"/>
      <x:c r="E10" s="11"/>
      <x:c r="F10" s="6" t="s">
        <x:v>19</x:v>
      </x:c>
      <x:c r="G10" s="13" t="s">
        <x:v>20</x:v>
      </x:c>
    </x:row>
    <x:row r="11" ht="31.5" hidden="0" customHeight="1">
      <x:c r="B11" s="11" t="str">
        <x:v>INPC VMR conservado (agosto 2026)</x:v>
      </x:c>
      <x:c r="C11" s="15" t="n">
        <x:v>145.462</x:v>
      </x:c>
      <x:c r="D11" s="11"/>
      <x:c r="E11" s="11"/>
      <x:c r="F11" s="6" t="s">
        <x:v>19</x:v>
      </x:c>
      <x:c r="G11" s="13" t="s">
        <x:v>21</x:v>
      </x:c>
    </x:row>
    <x:row r="12" ht="31.5" hidden="0" customHeight="1">
      <x:c r="B12" s="11" t="s">
        <x:v>22</x:v>
      </x:c>
      <x:c r="C12" s="16" t="n">
        <x:f aca="0">Regiones!B14</x:f>
        <x:v>130393389</x:v>
      </x:c>
      <x:c r="D12" s="11"/>
      <x:c r="E12" s="11"/>
      <x:c r="F12" s="6" t="s">
        <x:v>23</x:v>
      </x:c>
      <x:c r="G12" s="13" t="s">
        <x:v>24</x:v>
      </x:c>
    </x:row>
    <x:row r="14" ht="15" hidden="0">
      <x:c r="B14" s="10" t="s">
        <x:v>25</x:v>
      </x:c>
      <x:c r="C14" s="10" t="s">
        <x:v>26</x:v>
      </x:c>
      <x:c r="D14" s="10" t="s">
        <x:v>27</x:v>
      </x:c>
      <x:c r="E14" s="10" t="s">
        <x:v>28</x:v>
      </x:c>
      <x:c r="F14" s="10" t="s">
        <x:v>9</x:v>
      </x:c>
      <x:c r="G14" s="10" t="s">
        <x:v>10</x:v>
      </x:c>
    </x:row>
    <x:row r="15" ht="31.5" hidden="0" customHeight="1">
      <x:c r="B15" s="11" t="s">
        <x:v>29</x:v>
      </x:c>
      <x:c r="C15" s="17" t="n">
        <x:v>30</x:v>
      </x:c>
      <x:c r="D15" s="17" t="n">
        <x:v>20</x:v>
      </x:c>
      <x:c r="E15" s="17" t="n">
        <x:v>10</x:v>
      </x:c>
      <x:c r="F15" s="6" t="s">
        <x:v>30</x:v>
      </x:c>
      <x:c r="G15" s="13" t="s">
        <x:v>31</x:v>
      </x:c>
    </x:row>
    <x:row r="16" ht="45" hidden="0" customHeight="1">
      <x:c r="B16" s="11" t="s">
        <x:v>32</x:v>
      </x:c>
      <x:c r="C16" s="5" t="s">
        <x:v>33</x:v>
      </x:c>
      <x:c r="D16" s="5" t="s">
        <x:v>33</x:v>
      </x:c>
      <x:c r="E16" s="5" t="s">
        <x:v>34</x:v>
      </x:c>
      <x:c r="F16" s="6" t="s">
        <x:v>35</x:v>
      </x:c>
      <x:c r="G16" s="13" t="s">
        <x:v>36</x:v>
      </x:c>
    </x:row>
    <x:row r="18" ht="19.5" hidden="0" customHeight="1">
      <x:c r="B18" s="9" t="s">
        <x:v>37</x:v>
      </x:c>
      <x:c r="C18" s="9"/>
      <x:c r="D18" s="9"/>
      <x:c r="E18" s="9"/>
      <x:c r="F18" s="9"/>
      <x:c r="G18" s="9"/>
    </x:row>
    <x:row r="19" ht="15" hidden="0">
      <x:c r="B19" s="10" t="s">
        <x:v>38</x:v>
      </x:c>
      <x:c r="C19" s="10" t="s">
        <x:v>26</x:v>
      </x:c>
      <x:c r="D19" s="10" t="s">
        <x:v>27</x:v>
      </x:c>
      <x:c r="E19" s="10" t="s">
        <x:v>28</x:v>
      </x:c>
      <x:c r="F19" s="10" t="s">
        <x:v>9</x:v>
      </x:c>
      <x:c r="G19" s="10" t="s">
        <x:v>39</x:v>
      </x:c>
    </x:row>
    <x:row r="20" ht="18" hidden="0" customHeight="1">
      <x:c r="B20" s="11" t="s">
        <x:v>40</x:v>
      </x:c>
      <x:c r="C20" s="18" t="n">
        <x:f aca="0">Benchmark!$J$5</x:f>
        <x:v>0.3977276289882745</x:v>
      </x:c>
      <x:c r="D20" s="18" t="n">
        <x:f aca="0">Benchmark!$J$6</x:f>
        <x:v>0.5384462188404615</x:v>
      </x:c>
      <x:c r="E20" s="18" t="n">
        <x:f aca="0">Benchmark!$J$7</x:f>
        <x:v>0.0947331904108124</x:v>
      </x:c>
      <x:c r="F20" s="6" t="s">
        <x:v>41</x:v>
      </x:c>
      <x:c r="G20" s="13" t="s">
        <x:v>42</x:v>
      </x:c>
    </x:row>
    <x:row r="21" ht="18" hidden="0" customHeight="1">
      <x:c r="B21" s="11" t="s">
        <x:v>43</x:v>
      </x:c>
      <x:c r="C21" s="19" t="n">
        <x:f aca="0">Benchmark!$I$5</x:f>
        <x:v>30</x:v>
      </x:c>
      <x:c r="D21" s="19" t="n">
        <x:f aca="0">Benchmark!$I$6</x:f>
        <x:v>22</x:v>
      </x:c>
      <x:c r="E21" s="19" t="n">
        <x:f aca="0">Benchmark!$I$7</x:f>
        <x:v>45</x:v>
      </x:c>
      <x:c r="F21" s="6" t="s">
        <x:v>44</x:v>
      </x:c>
      <x:c r="G21" s="13" t="s">
        <x:v>45</x:v>
      </x:c>
    </x:row>
    <x:row r="22" ht="18" hidden="0" customHeight="1">
      <x:c r="B22" s="11" t="s">
        <x:v>46</x:v>
      </x:c>
      <x:c r="C22" s="20" t="n">
        <x:f aca="0">-PV($C$7,$C$9,C20,0,0)</x:f>
        <x:v>3.3860795125001686</x:v>
      </x:c>
      <x:c r="D22" s="20" t="n">
        <x:f aca="0">-PV($C$7,$C$9,D20,0,0)</x:f>
        <x:v>4.584096193761334</x:v>
      </x:c>
      <x:c r="E22" s="20" t="n">
        <x:f aca="0">-PV($C$7,$C$9,E20,0,0)</x:f>
        <x:v>0.8065170529384724</x:v>
      </x:c>
      <x:c r="F22" s="6" t="s">
        <x:v>41</x:v>
      </x:c>
      <x:c r="G22" s="13" t="s">
        <x:v>47</x:v>
      </x:c>
    </x:row>
    <x:row r="23" ht="18" hidden="0" customHeight="1">
      <x:c r="B23" s="11" t="s">
        <x:v>48</x:v>
      </x:c>
      <x:c r="C23" s="21" t="n">
        <x:f aca="0">Regiones!D14*1000</x:f>
        <x:v>26997100</x:v>
      </x:c>
      <x:c r="D23" s="21" t="n">
        <x:f aca="0">Regiones!E14*1000</x:f>
        <x:v>54087659.99999999</x:v>
      </x:c>
      <x:c r="E23" s="21" t="n">
        <x:f aca="0">Regiones!F14*1000</x:f>
        <x:v>22137190</x:v>
      </x:c>
      <x:c r="F23" s="6" t="s">
        <x:v>49</x:v>
      </x:c>
      <x:c r="G23" s="13" t="s">
        <x:v>50</x:v>
      </x:c>
    </x:row>
    <x:row r="24" ht="18" hidden="0" customHeight="1">
      <x:c r="B24" s="11" t="s">
        <x:v>51</x:v>
      </x:c>
      <x:c r="C24" s="20" t="n">
        <x:f aca="0">-PV($C$8,$C$9,C23,0,1)/$C$12</x:f>
        <x:v>1.926400886746191</x:v>
      </x:c>
      <x:c r="D24" s="20" t="n">
        <x:f aca="0">-PV($C$8,$C$9,D23,0,1)/$C$12</x:f>
        <x:v>3.8594706907788785</x:v>
      </x:c>
      <x:c r="E24" s="20" t="n">
        <x:f aca="0">-PV($C$8,$C$9,E23,0,1)/$C$12</x:f>
        <x:v>1.5796179014067775</x:v>
      </x:c>
      <x:c r="F24" s="6" t="s">
        <x:v>41</x:v>
      </x:c>
      <x:c r="G24" s="13" t="s">
        <x:v>52</x:v>
      </x:c>
    </x:row>
    <x:row r="25" ht="18" hidden="0" customHeight="1">
      <x:c r="B25" s="11" t="s">
        <x:v>53</x:v>
      </x:c>
      <x:c r="C25" s="20" t="n">
        <x:f aca="0">C22-C24</x:f>
        <x:v>1.4596786257539776</x:v>
      </x:c>
      <x:c r="D25" s="20" t="n">
        <x:f aca="0">D22-D24</x:f>
        <x:v>0.7246255029824553</x:v>
      </x:c>
      <x:c r="E25" s="20" t="n">
        <x:f aca="0">E22-E24</x:f>
        <x:v>-0.7731008484683051</x:v>
      </x:c>
      <x:c r="F25" s="6" t="s">
        <x:v>41</x:v>
      </x:c>
      <x:c r="G25" s="13" t="s">
        <x:v>54</x:v>
      </x:c>
    </x:row>
    <x:row r="26" ht="18" hidden="0" customHeight="1">
      <x:c r="B26" s="11" t="s">
        <x:v>55</x:v>
      </x:c>
      <x:c r="C26" s="22" t="n">
        <x:f aca="0">ROUND($C$11/$C$10,4)</x:f>
        <x:v>1.0197</x:v>
      </x:c>
      <x:c r="D26" s="22" t="n">
        <x:f aca="0">ROUND($C$11/$C$10,4)</x:f>
        <x:v>1.0197</x:v>
      </x:c>
      <x:c r="E26" s="22" t="n">
        <x:f aca="0">ROUND($C$11/$C$10,4)</x:f>
        <x:v>1.0197</x:v>
      </x:c>
      <x:c r="F26" s="6" t="s">
        <x:v>56</x:v>
      </x:c>
      <x:c r="G26" s="13" t="s">
        <x:v>57</x:v>
      </x:c>
    </x:row>
    <x:row r="27" ht="18" hidden="0" customHeight="1">
      <x:c r="B27" s="11" t="s">
        <x:v>58</x:v>
      </x:c>
      <x:c r="C27" s="20" t="n">
        <x:f aca="0">C25*C26</x:f>
        <x:v>1.488434294681331</x:v>
      </x:c>
      <x:c r="D27" s="20" t="n">
        <x:f aca="0">D25*D26</x:f>
        <x:v>0.7389006253912097</x:v>
      </x:c>
      <x:c r="E27" s="20" t="n">
        <x:f aca="0">E25*E26</x:f>
        <x:v>-0.7883309351831307</x:v>
      </x:c>
      <x:c r="F27" s="6" t="s">
        <x:v>41</x:v>
      </x:c>
      <x:c r="G27" s="13" t="s">
        <x:v>59</x:v>
      </x:c>
    </x:row>
    <x:row r="28" ht="18" hidden="0" customHeight="1">
      <x:c r="B28" s="11" t="s">
        <x:v>60</x:v>
      </x:c>
      <x:c r="C28" s="23" t="s">
        <x:v>61</x:v>
      </x:c>
      <x:c r="D28" s="24" t="n">
        <x:f aca="0">'Ref nacionales'!$D$14</x:f>
        <x:v>1.3371499453745488</x:v>
      </x:c>
      <x:c r="E28" s="24" t="n">
        <x:f aca="0">'Ref nacionales'!$D$13</x:f>
        <x:v>0.2097359646372044</x:v>
      </x:c>
      <x:c r="F28" s="6" t="s">
        <x:v>41</x:v>
      </x:c>
      <x:c r="G28" s="13" t="s">
        <x:v>62</x:v>
      </x:c>
    </x:row>
    <x:row r="29" ht="18" hidden="0" customHeight="1">
      <x:c r="B29" s="25" t="s">
        <x:v>63</x:v>
      </x:c>
      <x:c r="C29" s="26" t="n">
        <x:f aca="0">IF(C16="Referencia nacional",C28,C27)</x:f>
        <x:v>1.488434294681331</x:v>
      </x:c>
      <x:c r="D29" s="26" t="n">
        <x:f aca="0">IF(D16="Referencia nacional",D28,D27)</x:f>
        <x:v>0.7389006253912097</x:v>
      </x:c>
      <x:c r="E29" s="26" t="n">
        <x:f aca="0">IF(E16="Referencia nacional",E28,E27)</x:f>
        <x:v>0.2097359646372044</x:v>
      </x:c>
      <x:c r="F29" s="6" t="s">
        <x:v>41</x:v>
      </x:c>
      <x:c r="G29" s="13" t="s">
        <x:v>64</x:v>
      </x:c>
    </x:row>
    <x:row r="31" ht="19.5" hidden="0" customHeight="1">
      <x:c r="B31" s="9" t="s">
        <x:v>65</x:v>
      </x:c>
      <x:c r="C31" s="9"/>
      <x:c r="D31" s="9"/>
      <x:c r="E31" s="9"/>
      <x:c r="F31" s="9"/>
      <x:c r="G31" s="9"/>
    </x:row>
    <x:row r="32" ht="15" hidden="0">
      <x:c r="B32" s="10" t="s">
        <x:v>66</x:v>
      </x:c>
      <x:c r="C32" s="10" t="s">
        <x:v>26</x:v>
      </x:c>
      <x:c r="D32" s="10" t="s">
        <x:v>27</x:v>
      </x:c>
      <x:c r="E32" s="10" t="s">
        <x:v>28</x:v>
      </x:c>
      <x:c r="F32" s="10" t="s">
        <x:v>9</x:v>
      </x:c>
      <x:c r="G32" s="10" t="s">
        <x:v>39</x:v>
      </x:c>
    </x:row>
    <x:row r="33" ht="18" hidden="0" customHeight="1">
      <x:c r="B33" s="11" t="s">
        <x:v>67</x:v>
      </x:c>
      <x:c r="C33" s="16" t="n">
        <x:f aca="0">SUMPRODUCT(Regiones!$B$5:$B$13,Regiones!J$5:J$13)</x:f>
        <x:v>130393389</x:v>
      </x:c>
      <x:c r="D33" s="16" t="n">
        <x:f aca="0">SUMPRODUCT(Regiones!$B$5:$B$13,Regiones!K$5:K$13)</x:f>
        <x:v>108594955</x:v>
      </x:c>
      <x:c r="E33" s="16" t="n">
        <x:f aca="0">SUMPRODUCT(Regiones!$B$5:$B$13,Regiones!L$5:L$13)</x:f>
        <x:v>130393389</x:v>
      </x:c>
      <x:c r="F33" s="6" t="s">
        <x:v>23</x:v>
      </x:c>
      <x:c r="G33" s="13" t="s">
        <x:v>68</x:v>
      </x:c>
    </x:row>
    <x:row r="34" ht="18" hidden="0" customHeight="1">
      <x:c r="B34" s="11" t="s">
        <x:v>69</x:v>
      </x:c>
      <x:c r="C34" s="27" t="n">
        <x:f aca="0">C33/$C$12</x:f>
        <x:v>1</x:v>
      </x:c>
      <x:c r="D34" s="27" t="n">
        <x:f aca="0">D33/$C$12</x:f>
        <x:v>0.8328256197099072</x:v>
      </x:c>
      <x:c r="E34" s="27" t="n">
        <x:f aca="0">E33/$C$12</x:f>
        <x:v>1</x:v>
      </x:c>
      <x:c r="F34" s="6" t="s">
        <x:v>70</x:v>
      </x:c>
      <x:c r="G34" s="13" t="s">
        <x:v>71</x:v>
      </x:c>
    </x:row>
    <x:row r="35" ht="31.5" hidden="0" customHeight="1">
      <x:c r="B35" s="25" t="str">
        <x:v>VMR (base anterior; sin descuentos)</x:v>
      </x:c>
      <x:c r="C35" s="28" t="n">
        <x:f aca="0">$C$12*C15*C29*SUMPRODUCT(Regiones!G$5:G$13,Regiones!J$5:J$13)</x:f>
        <x:v>5822459759.619701</x:v>
      </x:c>
      <x:c r="D35" s="28" t="n">
        <x:f aca="0">$C$12*D15*D29*SUMPRODUCT(Regiones!H$5:H$13,Regiones!K$5:K$13)</x:f>
        <x:v>1398617016.4591348</x:v>
      </x:c>
      <x:c r="E35" s="28" t="n">
        <x:f aca="0">$C$12*E15*E29*SUMPRODUCT(Regiones!I$5:I$13,Regiones!L$5:L$13)</x:f>
        <x:v>273481832.24229234</x:v>
      </x:c>
      <x:c r="F35" s="6" t="s">
        <x:v>72</x:v>
      </x:c>
      <x:c r="G35" s="13" t="s">
        <x:v>73</x:v>
      </x:c>
    </x:row>
    <x:row r="36" ht="18" hidden="0" customHeight="1">
      <x:c r="B36" s="25" t="str">
        <x:v>Derechos anuales LFD (base)</x:v>
      </x:c>
      <x:c r="C36" s="28" t="n">
        <x:f aca="0">C15*1000*SUMPRODUCT(Regiones!D$5:D$13,Regiones!J$5:J$13)</x:f>
        <x:v>809913000</x:v>
      </x:c>
      <x:c r="D36" s="28" t="n">
        <x:f aca="0">D15*1000*SUMPRODUCT(Regiones!E$5:E$13,Regiones!K$5:K$13)</x:f>
        <x:v>785154987.1421198</x:v>
      </x:c>
      <x:c r="E36" s="28" t="n">
        <x:f aca="0">E15*1000*SUMPRODUCT(Regiones!F$5:F$13,Regiones!L$5:L$13)</x:f>
        <x:v>221371900</x:v>
      </x:c>
      <x:c r="F36" s="6" t="s">
        <x:v>74</x:v>
      </x:c>
      <x:c r="G36" s="13" t="s">
        <x:v>75</x:v>
      </x:c>
    </x:row>
    <x:row r="37" ht="18" hidden="0" customHeight="1">
      <x:c r="B37" s="25" t="str">
        <x:v>VP de derechos LFD (base)</x:v>
      </x:c>
      <x:c r="C37" s="28" t="n">
        <x:f aca="0">-PV($C$8,$C$9,C36,0,1)</x:f>
        <x:v>7535698205.86323</x:v>
      </x:c>
      <x:c r="D37" s="28" t="n">
        <x:f aca="0">-PV($C$8,$C$9,D36,0,1)</x:f>
        <x:v>7305341472.394491</x:v>
      </x:c>
      <x:c r="E37" s="28" t="n">
        <x:f aca="0">-PV($C$8,$C$9,E36,0,1)</x:f>
        <x:v>2059717314.8949757</x:v>
      </x:c>
      <x:c r="F37" s="6" t="s">
        <x:v>72</x:v>
      </x:c>
      <x:c r="G37" s="13" t="s">
        <x:v>76</x:v>
      </x:c>
    </x:row>
    <x:row r="38" ht="18" hidden="0" customHeight="1">
      <x:c r="B38" s="11" t="s">
        <x:v>77</x:v>
      </x:c>
      <x:c r="C38" s="6" t="str">
        <x:f aca="0">IF(C29&lt;=0,"MHz/pop &lt;= 0: revisar","OK")</x:f>
        <x:v>OK</x:v>
      </x:c>
      <x:c r="D38" s="6" t="str">
        <x:f aca="0">IF(D29&lt;=0,"MHz/pop &lt;= 0: revisar","OK")</x:f>
        <x:v>OK</x:v>
      </x:c>
      <x:c r="E38" s="6" t="str">
        <x:f aca="0">IF(E29&lt;=0,"MHz/pop &lt;= 0: revisar","OK")</x:f>
        <x:v>OK</x:v>
      </x:c>
      <x:c r="F38" s="6"/>
      <x:c r="G38" s="13" t="s">
        <x:v>78</x:v>
      </x:c>
    </x:row>
    <x:row r="40" ht="30" hidden="0" customHeight="1">
      <x:c r="B40" s="3" t="s">
        <x:v>79</x:v>
      </x:c>
      <x:c r="C40" s="3"/>
      <x:c r="D40" s="3"/>
      <x:c r="E40" s="3"/>
      <x:c r="F40" s="3"/>
      <x:c r="G40" s="3"/>
    </x:row>
    <x:row r="42">
      <x:c r="B42" s="9" t="str">
        <x:v>4. DERECHOS CON REDUCCIÓN GENERAL DEL CUADRO DEL 15 OCT</x:v>
      </x:c>
      <x:c r="C42" s="9"/>
      <x:c r="D42" s="9"/>
      <x:c r="E42" s="9"/>
      <x:c r="F42" s="9"/>
      <x:c r="G42" s="9"/>
    </x:row>
    <x:row r="43">
      <x:c r="B43" s="10" t="s">
        <x:v>66</x:v>
      </x:c>
      <x:c r="C43" s="10" t="s">
        <x:v>26</x:v>
      </x:c>
      <x:c r="D43" s="10" t="s">
        <x:v>27</x:v>
      </x:c>
      <x:c r="E43" s="10" t="s">
        <x:v>28</x:v>
      </x:c>
      <x:c r="F43" s="10" t="s">
        <x:v>9</x:v>
      </x:c>
      <x:c r="G43" s="10" t="s">
        <x:v>39</x:v>
      </x:c>
    </x:row>
    <x:row r="44">
      <x:c r="B44" s="25" t="str">
        <x:v>Reducción general LFD por banda</x:v>
      </x:c>
      <x:c r="C44" s="88" t="n">
        <x:f>0</x:f>
        <x:v>0</x:v>
      </x:c>
      <x:c r="D44" s="88" t="n">
        <x:f>'Fuente descuentos'!C13</x:f>
        <x:v>0.12</x:v>
      </x:c>
      <x:c r="E44" s="88" t="n">
        <x:f>'Fuente descuentos'!C13</x:f>
        <x:v>0.12</x:v>
      </x:c>
      <x:c r="F44" s="6" t="str">
        <x:v>%</x:v>
      </x:c>
      <x:c r="G44" s="13" t="str">
        <x:v>Fuente: nota 1 de Cobertura. 600 MHz queda excluida del 12%, aunque la tabla derecha de Derechos también la reduce.</x:v>
      </x:c>
    </x:row>
    <x:row r="45">
      <x:c r="B45" s="25" t="str">
        <x:v>Derechos anuales después de reducción</x:v>
      </x:c>
      <x:c r="C45" s="28" t="n">
        <x:f>C36*(1-C44)</x:f>
        <x:v>809913000</x:v>
      </x:c>
      <x:c r="D45" s="28" t="n">
        <x:f>D36*(1-D44)</x:f>
        <x:v>690936388.6850654</x:v>
      </x:c>
      <x:c r="E45" s="28" t="n">
        <x:f>E36*(1-E44)</x:f>
        <x:v>194807272</x:v>
      </x:c>
      <x:c r="F45" s="6" t="str">
        <x:v>MXN/año</x:v>
      </x:c>
      <x:c r="G45" s="13" t="str">
        <x:v>Derechos base × (1 − reducción general). Sin descuento adicional por obligaciones.</x:v>
      </x:c>
    </x:row>
    <x:row r="46">
      <x:c r="B46" s="25" t="str">
        <x:v>Ahorro anual por reducción general</x:v>
      </x:c>
      <x:c r="C46" s="28" t="n">
        <x:f>C36-C45</x:f>
        <x:v>0</x:v>
      </x:c>
      <x:c r="D46" s="28" t="n">
        <x:f>D36-D45</x:f>
        <x:v>94218598.45705438</x:v>
      </x:c>
      <x:c r="E46" s="28" t="n">
        <x:f>E36-E45</x:f>
        <x:v>26564628</x:v>
      </x:c>
      <x:c r="F46" s="6" t="str">
        <x:v>MXN/año</x:v>
      </x:c>
      <x:c r="G46" s="13" t="str">
        <x:v>Derechos base menos derechos después de la reducción general.</x:v>
      </x:c>
    </x:row>
    <x:row r="47">
      <x:c r="B47" s="25" t="str">
        <x:v>VP de derechos después de reducción</x:v>
      </x:c>
      <x:c r="C47" s="28" t="n">
        <x:f>-PV($C$8,$C$9,C45,0,1)</x:f>
        <x:v>7535698205.86323</x:v>
      </x:c>
      <x:c r="D47" s="28" t="n">
        <x:f>-PV($C$8,$C$9,D45,0,1)</x:f>
        <x:v>6428700495.707152</x:v>
      </x:c>
      <x:c r="E47" s="28" t="n">
        <x:f>-PV($C$8,$C$9,E45,0,1)</x:f>
        <x:v>1812551237.1075785</x:v>
      </x:c>
      <x:c r="F47" s="6" t="str">
        <x:v>MXN</x:v>
      </x:c>
      <x:c r="G47" s="13" t="str">
        <x:v>VP con la tasa y vigencia de la calculadora. Se supone la misma reducción en todos los años.</x:v>
      </x:c>
    </x:row>
    <x:row r="49">
      <x:c r="B49" s="89" t="str">
        <x:v>Para descuentos por obligaciones, seleccione operador, modalidad y porcentaje en la hoja Descuentos.</x:v>
      </x:c>
      <x:c r="C49" s="89"/>
      <x:c r="D49" s="89"/>
      <x:c r="E49" s="89"/>
      <x:c r="F49" s="89"/>
      <x:c r="G49" s="89"/>
    </x:row>
  </x:sheetData>
  <x:mergeCells>
    <x:mergeCell ref="A1:G1"/>
    <x:mergeCell ref="A2:G2"/>
    <x:mergeCell ref="B5:G5"/>
    <x:mergeCell ref="B18:G18"/>
    <x:mergeCell ref="B31:G31"/>
    <x:mergeCell ref="B40:G40"/>
    <x:mergeCell ref="B49:G49"/>
  </x:mergeCells>
  <x:dataValidations count="5">
    <x:dataValidation type="list" errorStyle="stop" operator="between" allowBlank="0" showDropDown="0" showInputMessage="0" showErrorMessage="1" errorTitle="Fuente" error="Para 600 MHz solo existe la opción Benchmark (no hay licitación nacional de referencia)." sqref="C16">
      <x:formula1>"Benchmark"</x:formula1>
      <x:formula2>0</x:formula2>
    </x:dataValidation>
    <x:dataValidation type="list" errorStyle="stop" operator="between" allowBlank="0" showDropDown="0" showInputMessage="0" showErrorMessage="1" errorTitle="Fuente" error="Elija Benchmark o Referencia nacional." sqref="D16:E16">
      <x:formula1>"Benchmark,Referencia nacional"</x:formula1>
      <x:formula2>0</x:formula2>
    </x:dataValidation>
    <x:dataValidation type="decimal" errorStyle="stop" operator="between" allowBlank="0" showDropDown="0" showInputMessage="0" showErrorMessage="1" errorTitle="Tasa" error="Ingrese una tasa entre 0% y 100% (ej. 10.11%)." sqref="C7:C8">
      <x:formula1>0</x:formula1>
      <x:formula2>1</x:formula2>
    </x:dataValidation>
    <x:dataValidation type="whole" errorStyle="stop" operator="between" allowBlank="0" showDropDown="0" showInputMessage="0" showErrorMessage="1" errorTitle="Vigencia" error="Ingrese años enteros entre 1 y 50." sqref="C9">
      <x:formula1>1</x:formula1>
      <x:formula2>50</x:formula2>
    </x:dataValidation>
    <x:dataValidation type="decimal" errorStyle="stop" operator="greaterThanOrEqual" allowBlank="0" showDropDown="0" showInputMessage="0" showErrorMessage="1" errorTitle="Espectro" error="Ingrese MHz mayores o iguales a 0." sqref="C15:E15">
      <x:formula1>0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864"/>
  </x:sheetPr>
  <x:sheetViews>
    <x:sheetView showGridLines="1" workbookViewId="0">
      <x:pane ySplit="7" topLeftCell="A8" activePane="bottomLeft" state="frozen"/>
    </x:sheetView>
  </x:sheetViews>
  <x:sheetFormatPr defaultColWidth="8.6796875" defaultRowHeight="15"/>
  <x:cols>
    <x:col min="1" max="1" width="13" style="1" hidden="0" customWidth="1"/>
    <x:col min="2" max="2" width="44" style="1" hidden="0" customWidth="1"/>
    <x:col min="3" max="3" width="15" style="1" hidden="0" customWidth="1"/>
    <x:col min="4" max="4" width="32" style="1" hidden="0" customWidth="1"/>
    <x:col min="5" max="5" width="52" style="1" hidden="0" customWidth="1"/>
    <x:col min="6" max="6" width="64" style="1" hidden="0" customWidth="1"/>
  </x:cols>
  <x:sheetData>
    <x:row r="1" ht="24" hidden="0" customHeight="1">
      <x:c r="A1" s="2" t="s">
        <x:v>80</x:v>
      </x:c>
      <x:c r="B1" s="2"/>
      <x:c r="C1" s="2"/>
      <x:c r="D1" s="2"/>
      <x:c r="E1" s="2"/>
      <x:c r="F1" s="2"/>
    </x:row>
    <x:row r="2" ht="30" hidden="0" customHeight="1">
      <x:c r="A2" s="3" t="s">
        <x:v>81</x:v>
      </x:c>
      <x:c r="B2" s="3"/>
      <x:c r="C2" s="3"/>
      <x:c r="D2" s="3"/>
      <x:c r="E2" s="3"/>
      <x:c r="F2" s="3"/>
    </x:row>
    <x:row r="4" ht="15" hidden="0">
      <x:c r="A4" s="29" t="s">
        <x:v>82</x:v>
      </x:c>
      <x:c r="B4" s="29"/>
      <x:c r="C4" s="29"/>
      <x:c r="D4" s="29"/>
      <x:c r="E4" s="29"/>
      <x:c r="F4" s="29"/>
    </x:row>
    <x:row r="5" ht="15" hidden="0">
      <x:c r="A5" s="30" t="s">
        <x:v>83</x:v>
      </x:c>
      <x:c r="B5" s="30"/>
      <x:c r="C5" s="30"/>
      <x:c r="D5" s="30"/>
      <x:c r="E5" s="30"/>
      <x:c r="F5" s="30"/>
    </x:row>
    <x:row r="7" ht="24" hidden="0" customHeight="1">
      <x:c r="A7" s="10" t="s">
        <x:v>84</x:v>
      </x:c>
      <x:c r="B7" s="10" t="s">
        <x:v>85</x:v>
      </x:c>
      <x:c r="C7" s="10" t="s">
        <x:v>9</x:v>
      </x:c>
      <x:c r="D7" s="10" t="s">
        <x:v>86</x:v>
      </x:c>
      <x:c r="E7" s="10" t="s">
        <x:v>87</x:v>
      </x:c>
      <x:c r="F7" s="10" t="s">
        <x:v>88</x:v>
      </x:c>
    </x:row>
    <x:row r="8" ht="42" hidden="0" customHeight="1">
      <x:c r="A8" s="31" t="s">
        <x:v>89</x:v>
      </x:c>
      <x:c r="B8" s="32" t="s">
        <x:v>29</x:v>
      </x:c>
      <x:c r="C8" s="33" t="s">
        <x:v>30</x:v>
      </x:c>
      <x:c r="D8" s="32" t="s">
        <x:v>90</x:v>
      </x:c>
      <x:c r="E8" s="32" t="s">
        <x:v>91</x:v>
      </x:c>
      <x:c r="F8" s="32" t="s">
        <x:v>92</x:v>
      </x:c>
    </x:row>
    <x:row r="9" ht="42" hidden="0" customHeight="1">
      <x:c r="A9" s="31" t="s">
        <x:v>89</x:v>
      </x:c>
      <x:c r="B9" s="32" t="s">
        <x:v>93</x:v>
      </x:c>
      <x:c r="C9" s="33" t="s">
        <x:v>35</x:v>
      </x:c>
      <x:c r="D9" s="32" t="s">
        <x:v>94</x:v>
      </x:c>
      <x:c r="E9" s="32" t="s">
        <x:v>95</x:v>
      </x:c>
      <x:c r="F9" s="32" t="s">
        <x:v>96</x:v>
      </x:c>
    </x:row>
    <x:row r="10" ht="42" hidden="0" customHeight="1">
      <x:c r="A10" s="31" t="s">
        <x:v>89</x:v>
      </x:c>
      <x:c r="B10" s="32" t="s">
        <x:v>97</x:v>
      </x:c>
      <x:c r="C10" s="33" t="s">
        <x:v>41</x:v>
      </x:c>
      <x:c r="D10" s="32" t="s">
        <x:v>98</x:v>
      </x:c>
      <x:c r="E10" s="32" t="s">
        <x:v>99</x:v>
      </x:c>
      <x:c r="F10" s="32" t="s">
        <x:v>100</x:v>
      </x:c>
    </x:row>
    <x:row r="11" ht="42" hidden="0" customHeight="1">
      <x:c r="A11" s="31" t="s">
        <x:v>89</x:v>
      </x:c>
      <x:c r="B11" s="32" t="s">
        <x:v>11</x:v>
      </x:c>
      <x:c r="C11" s="33" t="s">
        <x:v>70</x:v>
      </x:c>
      <x:c r="D11" s="32" t="s">
        <x:v>101</x:v>
      </x:c>
      <x:c r="E11" s="32" t="s">
        <x:v>102</x:v>
      </x:c>
      <x:c r="F11" s="32" t="s">
        <x:v>103</x:v>
      </x:c>
    </x:row>
    <x:row r="12" ht="42" hidden="0" customHeight="1">
      <x:c r="A12" s="31" t="s">
        <x:v>89</x:v>
      </x:c>
      <x:c r="B12" s="32" t="s">
        <x:v>14</x:v>
      </x:c>
      <x:c r="C12" s="33" t="s">
        <x:v>70</x:v>
      </x:c>
      <x:c r="D12" s="32" t="s">
        <x:v>104</x:v>
      </x:c>
      <x:c r="E12" s="32" t="s">
        <x:v>105</x:v>
      </x:c>
      <x:c r="F12" s="32" t="s">
        <x:v>106</x:v>
      </x:c>
    </x:row>
    <x:row r="13" ht="42" hidden="0" customHeight="1">
      <x:c r="A13" s="31" t="s">
        <x:v>89</x:v>
      </x:c>
      <x:c r="B13" s="32" t="s">
        <x:v>16</x:v>
      </x:c>
      <x:c r="C13" s="33" t="s">
        <x:v>17</x:v>
      </x:c>
      <x:c r="D13" s="32" t="s">
        <x:v>107</x:v>
      </x:c>
      <x:c r="E13" s="32" t="s">
        <x:v>108</x:v>
      </x:c>
      <x:c r="F13" s="32" t="s">
        <x:v>109</x:v>
      </x:c>
    </x:row>
    <x:row r="14" ht="42" hidden="0" customHeight="1">
      <x:c r="A14" s="31" t="s">
        <x:v>89</x:v>
      </x:c>
      <x:c r="B14" s="32" t="s">
        <x:v>110</x:v>
      </x:c>
      <x:c r="C14" s="33" t="s">
        <x:v>19</x:v>
      </x:c>
      <x:c r="D14" s="32" t="s">
        <x:v>111</x:v>
      </x:c>
      <x:c r="E14" s="32" t="s">
        <x:v>112</x:v>
      </x:c>
      <x:c r="F14" s="32" t="s">
        <x:v>113</x:v>
      </x:c>
    </x:row>
    <x:row r="15" ht="42" hidden="0" customHeight="1">
      <x:c r="A15" s="31" t="s">
        <x:v>89</x:v>
      </x:c>
      <x:c r="B15" s="32" t="s">
        <x:v>114</x:v>
      </x:c>
      <x:c r="C15" s="33" t="s">
        <x:v>23</x:v>
      </x:c>
      <x:c r="D15" s="32" t="s">
        <x:v>115</x:v>
      </x:c>
      <x:c r="E15" s="32" t="s">
        <x:v>116</x:v>
      </x:c>
      <x:c r="F15" s="32" t="s">
        <x:v>117</x:v>
      </x:c>
    </x:row>
    <x:row r="16" ht="42" hidden="0" customHeight="1">
      <x:c r="A16" s="31" t="s">
        <x:v>89</x:v>
      </x:c>
      <x:c r="B16" s="32" t="s">
        <x:v>118</x:v>
      </x:c>
      <x:c r="C16" s="33" t="s">
        <x:v>119</x:v>
      </x:c>
      <x:c r="D16" s="32" t="s">
        <x:v>120</x:v>
      </x:c>
      <x:c r="E16" s="32" t="s">
        <x:v>121</x:v>
      </x:c>
      <x:c r="F16" s="32" t="s">
        <x:v>122</x:v>
      </x:c>
    </x:row>
    <x:row r="17" ht="42" hidden="0" customHeight="1">
      <x:c r="A17" s="31" t="s">
        <x:v>89</x:v>
      </x:c>
      <x:c r="B17" s="32" t="s">
        <x:v>123</x:v>
      </x:c>
      <x:c r="C17" s="33" t="s">
        <x:v>70</x:v>
      </x:c>
      <x:c r="D17" s="32" t="s">
        <x:v>124</x:v>
      </x:c>
      <x:c r="E17" s="32" t="s">
        <x:v>125</x:v>
      </x:c>
      <x:c r="F17" s="32" t="s">
        <x:v>126</x:v>
      </x:c>
    </x:row>
    <x:row r="18" ht="42" hidden="0" customHeight="1">
      <x:c r="A18" s="31" t="s">
        <x:v>89</x:v>
      </x:c>
      <x:c r="B18" s="32" t="s">
        <x:v>127</x:v>
      </x:c>
      <x:c r="C18" s="33" t="s">
        <x:v>128</x:v>
      </x:c>
      <x:c r="D18" s="32" t="s">
        <x:v>129</x:v>
      </x:c>
      <x:c r="E18" s="32" t="s">
        <x:v>130</x:v>
      </x:c>
      <x:c r="F18" s="32" t="s">
        <x:v>131</x:v>
      </x:c>
    </x:row>
    <x:row r="19" ht="42" hidden="0" customHeight="1">
      <x:c r="A19" s="34" t="s">
        <x:v>132</x:v>
      </x:c>
      <x:c r="B19" s="32" t="s">
        <x:v>133</x:v>
      </x:c>
      <x:c r="C19" s="33" t="s">
        <x:v>41</x:v>
      </x:c>
      <x:c r="D19" s="32" t="s">
        <x:v>134</x:v>
      </x:c>
      <x:c r="E19" s="32" t="s">
        <x:v>135</x:v>
      </x:c>
      <x:c r="F19" s="32" t="s">
        <x:v>136</x:v>
      </x:c>
    </x:row>
    <x:row r="20" ht="42" hidden="0" customHeight="1">
      <x:c r="A20" s="34" t="s">
        <x:v>132</x:v>
      </x:c>
      <x:c r="B20" s="32" t="s">
        <x:v>137</x:v>
      </x:c>
      <x:c r="C20" s="33" t="s">
        <x:v>41</x:v>
      </x:c>
      <x:c r="D20" s="32" t="s">
        <x:v>138</x:v>
      </x:c>
      <x:c r="E20" s="32" t="s">
        <x:v>139</x:v>
      </x:c>
      <x:c r="F20" s="32" t="s">
        <x:v>140</x:v>
      </x:c>
    </x:row>
    <x:row r="21" ht="42" hidden="0" customHeight="1">
      <x:c r="A21" s="35" t="s">
        <x:v>141</x:v>
      </x:c>
      <x:c r="B21" s="32" t="s">
        <x:v>142</x:v>
      </x:c>
      <x:c r="C21" s="33" t="s">
        <x:v>41</x:v>
      </x:c>
      <x:c r="D21" s="32" t="s">
        <x:v>143</x:v>
      </x:c>
      <x:c r="E21" s="32" t="s">
        <x:v>95</x:v>
      </x:c>
      <x:c r="F21" s="32" t="s">
        <x:v>144</x:v>
      </x:c>
    </x:row>
    <x:row r="22" ht="42" hidden="0" customHeight="1">
      <x:c r="A22" s="35" t="s">
        <x:v>141</x:v>
      </x:c>
      <x:c r="B22" s="32" t="s">
        <x:v>145</x:v>
      </x:c>
      <x:c r="C22" s="33" t="s">
        <x:v>72</x:v>
      </x:c>
      <x:c r="D22" s="32" t="s">
        <x:v>146</x:v>
      </x:c>
      <x:c r="E22" s="32" t="s">
        <x:v>147</x:v>
      </x:c>
      <x:c r="F22" s="32" t="s">
        <x:v>148</x:v>
      </x:c>
    </x:row>
    <x:row r="23" ht="42" hidden="0" customHeight="1">
      <x:c r="A23" s="35" t="s">
        <x:v>141</x:v>
      </x:c>
      <x:c r="B23" s="32" t="s">
        <x:v>149</x:v>
      </x:c>
      <x:c r="C23" s="33" t="s">
        <x:v>74</x:v>
      </x:c>
      <x:c r="D23" s="32" t="s">
        <x:v>150</x:v>
      </x:c>
      <x:c r="E23" s="32" t="s">
        <x:v>151</x:v>
      </x:c>
      <x:c r="F23" s="32" t="s">
        <x:v>152</x:v>
      </x:c>
    </x:row>
    <x:row r="24" ht="42" hidden="0" customHeight="1">
      <x:c r="A24" s="35" t="s">
        <x:v>141</x:v>
      </x:c>
      <x:c r="B24" s="32" t="s">
        <x:v>153</x:v>
      </x:c>
      <x:c r="C24" s="33" t="s">
        <x:v>72</x:v>
      </x:c>
      <x:c r="D24" s="32" t="s">
        <x:v>154</x:v>
      </x:c>
      <x:c r="E24" s="32" t="s">
        <x:v>155</x:v>
      </x:c>
      <x:c r="F24" s="32" t="s">
        <x:v>156</x:v>
      </x:c>
    </x:row>
    <x:row r="25" ht="42" hidden="0" customHeight="1">
      <x:c r="A25" s="35" t="s">
        <x:v>141</x:v>
      </x:c>
      <x:c r="B25" s="32" t="s">
        <x:v>157</x:v>
      </x:c>
      <x:c r="C25" s="33" t="s">
        <x:v>72</x:v>
      </x:c>
      <x:c r="D25" s="32" t="s">
        <x:v>158</x:v>
      </x:c>
      <x:c r="E25" s="32" t="s">
        <x:v>159</x:v>
      </x:c>
      <x:c r="F25" s="32" t="s">
        <x:v>160</x:v>
      </x:c>
    </x:row>
    <x:row r="27" ht="19.5" hidden="0" customHeight="1">
      <x:c r="A27" s="9" t="s">
        <x:v>161</x:v>
      </x:c>
      <x:c r="B27" s="9"/>
      <x:c r="C27" s="9"/>
      <x:c r="D27" s="9"/>
      <x:c r="E27" s="9"/>
      <x:c r="F27" s="9"/>
    </x:row>
    <x:row r="28" ht="30" hidden="0" customHeight="1">
      <x:c r="A28" s="36" t="s">
        <x:v>162</x:v>
      </x:c>
      <x:c r="B28" s="36"/>
      <x:c r="C28" s="36"/>
      <x:c r="D28" s="36"/>
      <x:c r="E28" s="36"/>
      <x:c r="F28" s="36"/>
    </x:row>
    <x:row r="29" ht="30" hidden="0" customHeight="1">
      <x:c r="A29" s="36" t="s">
        <x:v>163</x:v>
      </x:c>
      <x:c r="B29" s="36"/>
      <x:c r="C29" s="36"/>
      <x:c r="D29" s="36"/>
      <x:c r="E29" s="36"/>
      <x:c r="F29" s="36"/>
    </x:row>
    <x:row r="30" ht="30" hidden="0" customHeight="1">
      <x:c r="A30" s="36" t="s">
        <x:v>164</x:v>
      </x:c>
      <x:c r="B30" s="36"/>
      <x:c r="C30" s="36"/>
      <x:c r="D30" s="36"/>
      <x:c r="E30" s="36"/>
      <x:c r="F30" s="36"/>
    </x:row>
    <x:row r="31" ht="30" hidden="0" customHeight="1">
      <x:c r="A31" s="36" t="s">
        <x:v>165</x:v>
      </x:c>
      <x:c r="B31" s="36"/>
      <x:c r="C31" s="36"/>
      <x:c r="D31" s="36"/>
      <x:c r="E31" s="36"/>
      <x:c r="F31" s="36"/>
    </x:row>
    <x:row r="32" ht="30" hidden="0" customHeight="1">
      <x:c r="A32" s="36" t="s">
        <x:v>166</x:v>
      </x:c>
      <x:c r="B32" s="36"/>
      <x:c r="C32" s="36"/>
      <x:c r="D32" s="36"/>
      <x:c r="E32" s="36"/>
      <x:c r="F32" s="36"/>
    </x:row>
    <x:row r="33" ht="30" hidden="0" customHeight="1">
      <x:c r="A33" s="36" t="s">
        <x:v>167</x:v>
      </x:c>
      <x:c r="B33" s="36"/>
      <x:c r="C33" s="36"/>
      <x:c r="D33" s="36"/>
      <x:c r="E33" s="36"/>
      <x:c r="F33" s="36"/>
    </x:row>
    <x:row r="34" ht="43.5" hidden="0" customHeight="1">
      <x:c r="A34" s="36" t="s">
        <x:v>168</x:v>
      </x:c>
      <x:c r="B34" s="36"/>
      <x:c r="C34" s="36"/>
      <x:c r="D34" s="36"/>
      <x:c r="E34" s="36"/>
      <x:c r="F34" s="36"/>
    </x:row>
    <x:row r="35" ht="43.5" hidden="0" customHeight="1">
      <x:c r="A35" s="36" t="s">
        <x:v>169</x:v>
      </x:c>
      <x:c r="B35" s="36"/>
      <x:c r="C35" s="36"/>
      <x:c r="D35" s="36"/>
      <x:c r="E35" s="36"/>
      <x:c r="F35" s="36"/>
    </x:row>
    <x:row r="37">
      <x:c r="A37" s="31" t="str">
        <x:v>ENTRADA</x:v>
      </x:c>
      <x:c r="B37" s="32" t="str">
        <x:v>Reducción general LFD</x:v>
      </x:c>
      <x:c r="C37" s="33" t="str">
        <x:v>%</x:v>
      </x:c>
      <x:c r="D37" s="32" t="str">
        <x:v>Fuente descuentos!C13</x:v>
      </x:c>
      <x:c r="E37" s="32" t="str">
        <x:v>Cobertura!D24 y nota 1</x:v>
      </x:c>
      <x:c r="F37" s="32" t="str">
        <x:v>Reduce derechos; 600 MHz excluida. No cambia la VMR base.</x:v>
      </x:c>
    </x:row>
    <x:row r="38">
      <x:c r="A38" s="31" t="str">
        <x:v>ENTRADA</x:v>
      </x:c>
      <x:c r="B38" s="32" t="str">
        <x:v>Operador y modalidad</x:v>
      </x:c>
      <x:c r="C38" s="33" t="str">
        <x:v>selección</x:v>
      </x:c>
      <x:c r="D38" s="32" t="str">
        <x:v>Descuentos!C4:C5</x:v>
      </x:c>
      <x:c r="E38" s="32" t="str">
        <x:v>Cobertura; Modernización; Híbrido; Hoja1</x:v>
      </x:c>
      <x:c r="F38" s="32" t="str">
        <x:v>Selecciona base, proporciones y modalidades disponibles.</x:v>
      </x:c>
    </x:row>
    <x:row r="39">
      <x:c r="A39" s="31" t="str">
        <x:v>ENTRADA</x:v>
      </x:c>
      <x:c r="B39" s="32" t="str">
        <x:v>Descuento por obligaciones</x:v>
      </x:c>
      <x:c r="C39" s="33" t="str">
        <x:v>%</x:v>
      </x:c>
      <x:c r="D39" s="32" t="str">
        <x:v>Descuentos!C6</x:v>
      </x:c>
      <x:c r="E39" s="32" t="str">
        <x:v>Columna B de las hojas de descuentos</x:v>
      </x:c>
      <x:c r="F39" s="32" t="str">
        <x:v>Escala el monto compensable; se valida contra el tope de cada tipo.</x:v>
      </x:c>
    </x:row>
    <x:row r="40">
      <x:c r="A40" s="31" t="str">
        <x:v>ENTRADA</x:v>
      </x:c>
      <x:c r="B40" s="32" t="str">
        <x:v>Costos, promedios y horizonte</x:v>
      </x:c>
      <x:c r="C40" s="33" t="str">
        <x:v>MXN, hab, años</x:v>
      </x:c>
      <x:c r="D40" s="32" t="str">
        <x:v>Fuente descuentos!C14:C21</x:v>
      </x:c>
      <x:c r="E40" s="32" t="str">
        <x:v>Parámetros identificados en Fuente descuentos</x:v>
      </x:c>
      <x:c r="F40" s="32" t="str">
        <x:v>Determinan radiobases, localidades y habitantes estimados.</x:v>
      </x:c>
    </x:row>
    <x:row r="41">
      <x:c r="A41" s="31" t="str">
        <x:v>SALIDA</x:v>
      </x:c>
      <x:c r="B41" s="32" t="str">
        <x:v>Descuentos y obligaciones</x:v>
      </x:c>
      <x:c r="C41" s="33" t="str">
        <x:v>MXN, radiobases, localidades, hab</x:v>
      </x:c>
      <x:c r="D41" s="32" t="str">
        <x:v>Descuentos!C10:C17</x:v>
      </x:c>
      <x:c r="E41" s="32" t="str">
        <x:v>Filas de los cuadros del archivo recibido</x:v>
      </x:c>
      <x:c r="F41" s="32" t="str">
        <x:v>El escenario activo se recalcula al editar entradas.</x:v>
      </x:c>
    </x:row>
    <x:row r="42">
      <x:c r="A42" s="31" t="str">
        <x:v>SALIDA</x:v>
      </x:c>
      <x:c r="B42" s="32" t="str">
        <x:v>Derechos después de reducción general</x:v>
      </x:c>
      <x:c r="C42" s="33" t="str">
        <x:v>MXN</x:v>
      </x:c>
      <x:c r="D42" s="32" t="str">
        <x:v>Calculadora!C45:E47</x:v>
      </x:c>
      <x:c r="E42" s="32" t="str">
        <x:v>Nota de exclusión de 600/700 MHz</x:v>
      </x:c>
      <x:c r="F42" s="32" t="str">
        <x:v>Pago anual, ahorro anual y VP, separados de la VMR base.</x:v>
      </x:c>
    </x:row>
    <x:row r="43">
      <x:c r="A43" s="31" t="str">
        <x:v>ALCANCE</x:v>
      </x:c>
      <x:c r="B43" s="32" t="str">
        <x:v>Datos que no se actualizaron</x:v>
      </x:c>
      <x:c r="C43" s="33" t="str">
        <x:v>base anterior</x:v>
      </x:c>
      <x:c r="D43" s="32" t="str">
        <x:v>Benchmark; Ref nacionales; población; INPC</x:v>
      </x:c>
      <x:c r="E43" s="32" t="str">
        <x:v>No incluidos en el archivo nuevo</x:v>
      </x:c>
      <x:c r="F43" s="32" t="str">
        <x:v>Se conservan: el cuadro nuevo es un modelo de descuentos.</x:v>
      </x:c>
    </x:row>
  </x:sheetData>
  <x:mergeCells>
    <x:mergeCell ref="A1:F1"/>
    <x:mergeCell ref="A2:F2"/>
    <x:mergeCell ref="A4:F4"/>
    <x:mergeCell ref="A5:F5"/>
    <x:mergeCell ref="A27:F27"/>
    <x:mergeCell ref="A28:F28"/>
    <x:mergeCell ref="A29:F29"/>
    <x:mergeCell ref="A30:F30"/>
    <x:mergeCell ref="A31:F31"/>
    <x:mergeCell ref="A32:F32"/>
    <x:mergeCell ref="A33:F33"/>
    <x:mergeCell ref="A34:F34"/>
    <x:mergeCell ref="A35:F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3864"/>
  </x:sheetPr>
  <x:sheetViews>
    <x:sheetView showGridLines="1" workbookViewId="0">
      <x:pane xSplit="2" ySplit="5" topLeftCell="C6" activePane="bottomRight" state="frozen"/>
    </x:sheetView>
  </x:sheetViews>
  <x:sheetFormatPr defaultColWidth="8.6796875" defaultRowHeight="15"/>
  <x:cols>
    <x:col min="1" max="1" width="14" style="1" hidden="0" customWidth="1"/>
    <x:col min="2" max="2" width="16" style="1" hidden="0" customWidth="1"/>
    <x:col min="3" max="11" width="17" style="1" hidden="0" customWidth="1"/>
  </x:cols>
  <x:sheetData>
    <x:row r="1" ht="24" hidden="0" customHeight="1">
      <x:c r="A1" s="2" t="s">
        <x:v>170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hidden="0" customHeight="1">
      <x:c r="A2" s="3" t="s">
        <x:v>171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19.5" hidden="0" customHeight="1">
      <x:c r="C4" s="37" t="s">
        <x:v>26</x:v>
      </x:c>
      <x:c r="D4" s="37"/>
      <x:c r="E4" s="37"/>
      <x:c r="F4" s="37" t="s">
        <x:v>27</x:v>
      </x:c>
      <x:c r="G4" s="37"/>
      <x:c r="H4" s="37"/>
      <x:c r="I4" s="37" t="s">
        <x:v>28</x:v>
      </x:c>
      <x:c r="J4" s="37"/>
      <x:c r="K4" s="37"/>
    </x:row>
    <x:row r="5" ht="42" hidden="0" customHeight="1">
      <x:c r="A5" s="10" t="s">
        <x:v>172</x:v>
      </x:c>
      <x:c r="B5" s="10" t="s">
        <x:v>173</x:v>
      </x:c>
      <x:c r="C5" s="10" t="s">
        <x:v>174</x:v>
      </x:c>
      <x:c r="D5" s="10" t="s">
        <x:v>175</x:v>
      </x:c>
      <x:c r="E5" s="10" t="s">
        <x:v>176</x:v>
      </x:c>
      <x:c r="F5" s="10" t="s">
        <x:v>174</x:v>
      </x:c>
      <x:c r="G5" s="10" t="s">
        <x:v>175</x:v>
      </x:c>
      <x:c r="H5" s="10" t="s">
        <x:v>176</x:v>
      </x:c>
      <x:c r="I5" s="10" t="s">
        <x:v>174</x:v>
      </x:c>
      <x:c r="J5" s="10" t="s">
        <x:v>175</x:v>
      </x:c>
      <x:c r="K5" s="10" t="s">
        <x:v>176</x:v>
      </x:c>
    </x:row>
    <x:row r="6" ht="15" hidden="0">
      <x:c r="A6" s="7" t="n">
        <x:f aca="0">Regiones!A5</x:f>
        <x:v>1</x:v>
      </x:c>
      <x:c r="B6" s="16" t="n">
        <x:f aca="0">Regiones!B5</x:f>
        <x:v>5135745</x:v>
      </x:c>
      <x:c r="C6" s="21" t="n">
        <x:f aca="0">Calculadora!$C$12*Calculadora!C$15*Calculadora!C$29*Regiones!G5*Regiones!J5</x:f>
        <x:v>513738456.9083238</x:v>
      </x:c>
      <x:c r="D6" s="21" t="n">
        <x:f aca="0">Calculadora!C$15*1000*Regiones!D5*Regiones!J5</x:f>
        <x:v>71461800</x:v>
      </x:c>
      <x:c r="E6" s="21" t="n">
        <x:f aca="0">-PV(Calculadora!$C$8,Calculadora!$C$9,D6,0,1)</x:f>
        <x:v>664904203.3499364</x:v>
      </x:c>
      <x:c r="F6" s="21" t="n">
        <x:f aca="0">Calculadora!$C$12*Calculadora!D$15*Calculadora!D$29*Regiones!H5*Regiones!K5</x:f>
        <x:v>170022938.14968532</x:v>
      </x:c>
      <x:c r="G6" s="21" t="n">
        <x:f aca="0">Calculadora!D$15*1000*Regiones!E5*Regiones!K5</x:f>
        <x:v>95447400</x:v>
      </x:c>
      <x:c r="H6" s="21" t="n">
        <x:f aca="0">-PV(Calculadora!$C$8,Calculadora!$C$9,G6,0,1)</x:f>
        <x:v>888074152.327855</x:v>
      </x:c>
      <x:c r="I6" s="21" t="n">
        <x:f aca="0">Calculadora!$C$12*Calculadora!E$15*Calculadora!E$29*Regiones!I5*Regiones!L5</x:f>
        <x:v>24130361.11752474</x:v>
      </x:c>
      <x:c r="J6" s="21" t="n">
        <x:f aca="0">Calculadora!E$15*1000*Regiones!F5*Regiones!L5</x:f>
        <x:v>19532500</x:v>
      </x:c>
      <x:c r="K6" s="21" t="n">
        <x:f aca="0">-PV(Calculadora!$C$8,Calculadora!$C$9,J6,0,1)</x:f>
        <x:v>181736834.9514374</x:v>
      </x:c>
    </x:row>
    <x:row r="7" ht="15" hidden="0">
      <x:c r="A7" s="7" t="n">
        <x:f aca="0">Regiones!A6</x:f>
        <x:v>2</x:v>
      </x:c>
      <x:c r="B7" s="16" t="n">
        <x:f aca="0">Regiones!B6</x:f>
        <x:v>5889145</x:v>
      </x:c>
      <x:c r="C7" s="21" t="n">
        <x:f aca="0">Calculadora!$C$12*Calculadora!C$15*Calculadora!C$29*Regiones!G6*Regiones!J6</x:f>
        <x:v>76157327.6506332</x:v>
      </x:c>
      <x:c r="D7" s="21" t="n">
        <x:f aca="0">Calculadora!C$15*1000*Regiones!D6*Regiones!J6</x:f>
        <x:v>10593600</x:v>
      </x:c>
      <x:c r="E7" s="21" t="n">
        <x:f aca="0">-PV(Calculadora!$C$8,Calculadora!$C$9,D7,0,1)</x:f>
        <x:v>98566355.29202856</x:v>
      </x:c>
      <x:c r="F7" s="21" t="n">
        <x:f aca="0">Calculadora!$C$12*Calculadora!D$15*Calculadora!D$29*Regiones!H6*Regiones!K6</x:f>
        <x:v>25203982.003489856</x:v>
      </x:c>
      <x:c r="G7" s="21" t="n">
        <x:f aca="0">Calculadora!D$15*1000*Regiones!E6*Regiones!K6</x:f>
        <x:v>14149000</x:v>
      </x:c>
      <x:c r="H7" s="21" t="n">
        <x:f aca="0">-PV(Calculadora!$C$8,Calculadora!$C$9,G7,0,1)</x:f>
        <x:v>131646971.85346925</x:v>
      </x:c>
      <x:c r="I7" s="21" t="n">
        <x:f aca="0">Calculadora!$C$12*Calculadora!E$15*Calculadora!E$29*Regiones!I6*Regiones!L6</x:f>
        <x:v>3576963.9103894094</x:v>
      </x:c>
      <x:c r="J7" s="21" t="n">
        <x:f aca="0">Calculadora!E$15*1000*Regiones!F6*Regiones!L6</x:f>
        <x:v>2895400</x:v>
      </x:c>
      <x:c r="K7" s="21" t="n">
        <x:f aca="0">-PV(Calculadora!$C$8,Calculadora!$C$9,J7,0,1)</x:f>
        <x:v>26939758.449680887</x:v>
      </x:c>
    </x:row>
    <x:row r="8" ht="15" hidden="0">
      <x:c r="A8" s="7" t="n">
        <x:f aca="0">Regiones!A7</x:f>
        <x:v>3</x:v>
      </x:c>
      <x:c r="B8" s="16" t="n">
        <x:f aca="0">Regiones!B7</x:f>
        <x:v>6931670</x:v>
      </x:c>
      <x:c r="C8" s="21" t="n">
        <x:f aca="0">Calculadora!$C$12*Calculadora!C$15*Calculadora!C$29*Regiones!G7*Regiones!J7</x:f>
        <x:v>323465912.8822289</x:v>
      </x:c>
      <x:c r="D8" s="21" t="n">
        <x:f aca="0">Calculadora!C$15*1000*Regiones!D7*Regiones!J7</x:f>
        <x:v>44994600</x:v>
      </x:c>
      <x:c r="E8" s="21" t="n">
        <x:f aca="0">-PV(Calculadora!$C$8,Calculadora!$C$9,D8,0,1)</x:f>
        <x:v>418644627.8718007</x:v>
      </x:c>
      <x:c r="F8" s="21" t="n">
        <x:f aca="0">Calculadora!$C$12*Calculadora!D$15*Calculadora!D$29*Regiones!H7*Regiones!K7</x:f>
        <x:v>107051994.18102546</x:v>
      </x:c>
      <x:c r="G8" s="21" t="n">
        <x:f aca="0">Calculadora!D$15*1000*Regiones!E7*Regiones!K7</x:f>
        <x:v>60096800</x:v>
      </x:c>
      <x:c r="H8" s="21" t="n">
        <x:f aca="0">-PV(Calculadora!$C$8,Calculadora!$C$9,G8,0,1)</x:f>
        <x:v>559160487.5315267</x:v>
      </x:c>
      <x:c r="I8" s="21" t="n">
        <x:f aca="0">Calculadora!$C$12*Calculadora!E$15*Calculadora!E$29*Regiones!I7*Regiones!L7</x:f>
        <x:v>15193263.541874032</x:v>
      </x:c>
      <x:c r="J8" s="21" t="n">
        <x:f aca="0">Calculadora!E$15*1000*Regiones!F7*Regiones!L7</x:f>
        <x:v>12298300</x:v>
      </x:c>
      <x:c r="K8" s="21" t="n">
        <x:f aca="0">-PV(Calculadora!$C$8,Calculadora!$C$9,J8,0,1)</x:f>
        <x:v>114427447.44826637</x:v>
      </x:c>
    </x:row>
    <x:row r="9" ht="15" hidden="0">
      <x:c r="A9" s="7" t="n">
        <x:f aca="0">Regiones!A8</x:f>
        <x:v>4</x:v>
      </x:c>
      <x:c r="B9" s="16" t="n">
        <x:f aca="0">Regiones!B8</x:f>
        <x:v>12176557</x:v>
      </x:c>
      <x:c r="C9" s="21" t="n">
        <x:f aca="0">Calculadora!$C$12*Calculadora!C$15*Calculadora!C$29*Regiones!G8*Regiones!J8</x:f>
        <x:v>1608873150.6787553</x:v>
      </x:c>
      <x:c r="D9" s="21" t="n">
        <x:f aca="0">Calculadora!C$15*1000*Regiones!D8*Regiones!J8</x:f>
        <x:v>223796700</x:v>
      </x:c>
      <x:c r="E9" s="21" t="n">
        <x:f aca="0">-PV(Calculadora!$C$8,Calculadora!$C$9,D9,0,1)</x:f>
        <x:v>2082278455.4243624</x:v>
      </x:c>
      <x:c r="F9" s="21" t="n">
        <x:f aca="0">Calculadora!$C$12*Calculadora!D$15*Calculadora!D$29*Regiones!H8*Regiones!K8</x:f>
        <x:v>532459013.85499734</x:v>
      </x:c>
      <x:c r="G9" s="21" t="n">
        <x:f aca="0">Calculadora!D$15*1000*Regiones!E8*Regiones!K8</x:f>
        <x:v>298911600</x:v>
      </x:c>
      <x:c r="H9" s="21" t="n">
        <x:f aca="0">-PV(Calculadora!$C$8,Calculadora!$C$9,G9,0,1)</x:f>
        <x:v>2781172308.422889</x:v>
      </x:c>
      <x:c r="I9" s="21" t="n">
        <x:f aca="0">Calculadora!$C$12*Calculadora!E$15*Calculadora!E$29*Regiones!I8*Regiones!L8</x:f>
        <x:v>75568891.00149827</x:v>
      </x:c>
      <x:c r="J9" s="21" t="n">
        <x:f aca="0">Calculadora!E$15*1000*Regiones!F8*Regiones!L8</x:f>
        <x:v>61169799.99999999</x:v>
      </x:c>
      <x:c r="K9" s="21" t="n">
        <x:f aca="0">-PV(Calculadora!$C$8,Calculadora!$C$9,J9,0,1)</x:f>
        <x:v>569144034.1283726</x:v>
      </x:c>
    </x:row>
    <x:row r="10" ht="15" hidden="0">
      <x:c r="A10" s="7" t="n">
        <x:f aca="0">Regiones!A9</x:f>
        <x:v>5</x:v>
      </x:c>
      <x:c r="B10" s="16" t="n">
        <x:f aca="0">Regiones!B9</x:f>
        <x:v>16547039</x:v>
      </x:c>
      <x:c r="C10" s="21" t="n">
        <x:f aca="0">Calculadora!$C$12*Calculadora!C$15*Calculadora!C$29*Regiones!G9*Regiones!J9</x:f>
        <x:v>624849392.6591443</x:v>
      </x:c>
      <x:c r="D10" s="21" t="n">
        <x:f aca="0">Calculadora!C$15*1000*Regiones!D9*Regiones!J9</x:f>
        <x:v>86917500</x:v>
      </x:c>
      <x:c r="E10" s="21" t="n">
        <x:f aca="0">-PV(Calculadora!$C$8,Calculadora!$C$9,D10,0,1)</x:f>
        <x:v>808709143.8316429</x:v>
      </x:c>
      <x:c r="F10" s="21" t="n">
        <x:f aca="0">Calculadora!$C$12*Calculadora!D$15*Calculadora!D$29*Regiones!H9*Regiones!K9</x:f>
        <x:v>206795563.9247113</x:v>
      </x:c>
      <x:c r="G10" s="21" t="n">
        <x:f aca="0">Calculadora!D$15*1000*Regiones!E9*Regiones!K9</x:f>
        <x:v>116090800</x:v>
      </x:c>
      <x:c r="H10" s="21" t="n">
        <x:f aca="0">-PV(Calculadora!$C$8,Calculadora!$C$9,G10,0,1)</x:f>
        <x:v>1080147168.001041</x:v>
      </x:c>
      <x:c r="I10" s="21" t="n">
        <x:f aca="0">Calculadora!$C$12*Calculadora!E$15*Calculadora!E$29*Regiones!I9*Regiones!L9</x:f>
        <x:v>29349289.08583311</x:v>
      </x:c>
      <x:c r="J10" s="21" t="n">
        <x:f aca="0">Calculadora!E$15*1000*Regiones!F9*Regiones!L9</x:f>
        <x:v>23757000</x:v>
      </x:c>
      <x:c r="K10" s="21" t="n">
        <x:f aca="0">-PV(Calculadora!$C$8,Calculadora!$C$9,J10,0,1)</x:f>
        <x:v>221042979.0319365</x:v>
      </x:c>
    </x:row>
    <x:row r="11" ht="15" hidden="0">
      <x:c r="A11" s="7" t="n">
        <x:f aca="0">Regiones!A10</x:f>
        <x:v>6</x:v>
      </x:c>
      <x:c r="B11" s="16" t="n">
        <x:f aca="0">Regiones!B10</x:f>
        <x:v>14455324</x:v>
      </x:c>
      <x:c r="C11" s="21" t="n">
        <x:f aca="0">Calculadora!$C$12*Calculadora!C$15*Calculadora!C$29*Regiones!G10*Regiones!J10</x:f>
        <x:v>260690897.7053208</x:v>
      </x:c>
      <x:c r="D11" s="21" t="n">
        <x:f aca="0">Calculadora!C$15*1000*Regiones!D10*Regiones!J10</x:f>
        <x:v>36262500</x:v>
      </x:c>
      <x:c r="E11" s="21" t="n">
        <x:f aca="0">-PV(Calculadora!$C$8,Calculadora!$C$9,D11,0,1)</x:f>
        <x:v>337398283.7540765</x:v>
      </x:c>
      <x:c r="F11" s="21" t="n">
        <x:f aca="0">Calculadora!$C$12*Calculadora!D$15*Calculadora!D$29*Regiones!H10*Regiones!K10</x:f>
        <x:v>86276388.68899758</x:v>
      </x:c>
      <x:c r="G11" s="21" t="n">
        <x:f aca="0">Calculadora!D$15*1000*Regiones!E10*Regiones!K10</x:f>
        <x:v>48433800</x:v>
      </x:c>
      <x:c r="H11" s="21" t="n">
        <x:f aca="0">-PV(Calculadora!$C$8,Calculadora!$C$9,G11,0,1)</x:f>
        <x:v>450644081.2323528</x:v>
      </x:c>
      <x:c r="I11" s="21" t="n">
        <x:f aca="0">Calculadora!$C$12*Calculadora!E$15*Calculadora!E$29*Regiones!I10*Regiones!L10</x:f>
        <x:v>12244745.28362771</x:v>
      </x:c>
      <x:c r="J11" s="21" t="n">
        <x:f aca="0">Calculadora!E$15*1000*Regiones!F10*Regiones!L10</x:f>
        <x:v>9911600</x:v>
      </x:c>
      <x:c r="K11" s="21" t="n">
        <x:f aca="0">-PV(Calculadora!$C$8,Calculadora!$C$9,J11,0,1)</x:f>
        <x:v>92220801.90987673</x:v>
      </x:c>
    </x:row>
    <x:row r="12" ht="15" hidden="0">
      <x:c r="A12" s="7" t="n">
        <x:f aca="0">Regiones!A11</x:f>
        <x:v>7</x:v>
      </x:c>
      <x:c r="B12" s="16" t="n">
        <x:f aca="0">Regiones!B11</x:f>
        <x:v>23379490</x:v>
      </x:c>
      <x:c r="C12" s="21" t="n">
        <x:f aca="0">Calculadora!$C$12*Calculadora!C$15*Calculadora!C$29*Regiones!G11*Regiones!J11</x:f>
        <x:v>44533661.60676044</x:v>
      </x:c>
      <x:c r="D12" s="21" t="n">
        <x:f aca="0">Calculadora!C$15*1000*Regiones!D11*Regiones!J11</x:f>
        <x:v>6194700</x:v>
      </x:c>
      <x:c r="E12" s="21" t="n">
        <x:f aca="0">-PV(Calculadora!$C$8,Calculadora!$C$9,D12,0,1)</x:f>
        <x:v>57637535.97714935</x:v>
      </x:c>
      <x:c r="F12" s="21" t="n">
        <x:f aca="0">Calculadora!$C$12*Calculadora!D$15*Calculadora!D$29*Regiones!H11*Regiones!K11</x:f>
        <x:v>14739047.840361562</x:v>
      </x:c>
      <x:c r="G12" s="21" t="n">
        <x:f aca="0">Calculadora!D$15*1000*Regiones!E11*Regiones!K11</x:f>
        <x:v>8274200</x:v>
      </x:c>
      <x:c r="H12" s="21" t="n">
        <x:f aca="0">-PV(Calculadora!$C$8,Calculadora!$C$9,G12,0,1)</x:f>
        <x:v>76985891.19442897</x:v>
      </x:c>
      <x:c r="I12" s="21" t="n">
        <x:f aca="0">Calculadora!$C$12*Calculadora!E$15*Calculadora!E$29*Regiones!I11*Regiones!L11</x:f>
        <x:v>2091771.531764643</x:v>
      </x:c>
      <x:c r="J12" s="21" t="n">
        <x:f aca="0">Calculadora!E$15*1000*Regiones!F11*Regiones!L11</x:f>
        <x:v>1693200</x:v>
      </x:c>
      <x:c r="K12" s="21" t="n">
        <x:f aca="0">-PV(Calculadora!$C$8,Calculadora!$C$9,J12,0,1)</x:f>
        <x:v>15754092.355805648</x:v>
      </x:c>
    </x:row>
    <x:row r="13" ht="15" hidden="0">
      <x:c r="A13" s="7" t="n">
        <x:f aca="0">Regiones!A12</x:f>
        <x:v>8</x:v>
      </x:c>
      <x:c r="B13" s="16" t="n">
        <x:f aca="0">Regiones!B12</x:f>
        <x:v>13926029</x:v>
      </x:c>
      <x:c r="C13" s="21" t="n">
        <x:f aca="0">Calculadora!$C$12*Calculadora!C$15*Calculadora!C$29*Regiones!G12*Regiones!J12</x:f>
        <x:v>30101037.098433603</x:v>
      </x:c>
      <x:c r="D13" s="21" t="n">
        <x:f aca="0">Calculadora!C$15*1000*Regiones!D12*Regiones!J12</x:f>
        <x:v>4187100</x:v>
      </x:c>
      <x:c r="E13" s="21" t="n">
        <x:f aca="0">-PV(Calculadora!$C$8,Calculadora!$C$9,D13,0,1)</x:f>
        <x:v>38958162.120832644</x:v>
      </x:c>
      <x:c r="F13" s="21" t="n">
        <x:f aca="0">Calculadora!$C$12*Calculadora!D$15*Calculadora!D$29*Regiones!H12*Regiones!K12</x:f>
        <x:v>9962243.957362171</x:v>
      </x:c>
      <x:c r="G13" s="21" t="n">
        <x:f aca="0">Calculadora!D$15*1000*Regiones!E12*Regiones!K12</x:f>
        <x:v>5592600</x:v>
      </x:c>
      <x:c r="H13" s="21" t="n">
        <x:f aca="0">-PV(Calculadora!$C$8,Calculadora!$C$9,G13,0,1)</x:f>
        <x:v>52035398.59973936</x:v>
      </x:c>
      <x:c r="I13" s="21" t="n">
        <x:f aca="0">Calculadora!$C$12*Calculadora!E$15*Calculadora!E$29*Regiones!I12*Regiones!L12</x:f>
        <x:v>1414157.1417499334</x:v>
      </x:c>
      <x:c r="J13" s="21" t="n">
        <x:f aca="0">Calculadora!E$15*1000*Regiones!F12*Regiones!L12</x:f>
        <x:v>1144700</x:v>
      </x:c>
      <x:c r="K13" s="21" t="n">
        <x:f aca="0">-PV(Calculadora!$C$8,Calculadora!$C$9,J13,0,1)</x:f>
        <x:v>10650667.091714345</x:v>
      </x:c>
    </x:row>
    <x:row r="14" ht="15" hidden="0">
      <x:c r="A14" s="7" t="n">
        <x:f aca="0">Regiones!A13</x:f>
        <x:v>9</x:v>
      </x:c>
      <x:c r="B14" s="16" t="n">
        <x:f aca="0">Regiones!B13</x:f>
        <x:v>31952390</x:v>
      </x:c>
      <x:c r="C14" s="21" t="n">
        <x:f aca="0">Calculadora!$C$12*Calculadora!C$15*Calculadora!C$29*Regiones!G13*Regiones!J13</x:f>
        <x:v>2340049922.4301023</x:v>
      </x:c>
      <x:c r="D14" s="21" t="n">
        <x:f aca="0">Calculadora!C$15*1000*Regiones!D13*Regiones!J13</x:f>
        <x:v>325504500</x:v>
      </x:c>
      <x:c r="E14" s="21" t="n">
        <x:f aca="0">-PV(Calculadora!$C$8,Calculadora!$C$9,D14,0,1)</x:f>
        <x:v>3028601438.2414007</x:v>
      </x:c>
      <x:c r="F14" s="21" t="n">
        <x:f aca="0">Calculadora!$C$12*Calculadora!D$15*Calculadora!D$29*Regiones!H13*Regiones!K13</x:f>
        <x:v>246105843.8585041</x:v>
      </x:c>
      <x:c r="G14" s="21" t="n">
        <x:f aca="0">Calculadora!D$15*1000*Regiones!E13*Regiones!K13</x:f>
        <x:v>138158787.14211988</x:v>
      </x:c>
      <x:c r="H14" s="21" t="n">
        <x:f aca="0">-PV(Calculadora!$C$8,Calculadora!$C$9,G14,0,1)</x:f>
        <x:v>1285475013.23119</x:v>
      </x:c>
      <x:c r="I14" s="21" t="n">
        <x:f aca="0">Calculadora!$C$12*Calculadora!E$15*Calculadora!E$29*Regiones!I13*Regiones!L13</x:f>
        <x:v>109912389.62803051</x:v>
      </x:c>
      <x:c r="J14" s="21" t="n">
        <x:f aca="0">Calculadora!E$15*1000*Regiones!F13*Regiones!L13</x:f>
        <x:v>88969400</x:v>
      </x:c>
      <x:c r="K14" s="21" t="n">
        <x:f aca="0">-PV(Calculadora!$C$8,Calculadora!$C$9,J14,0,1)</x:f>
        <x:v>827800699.5278853</x:v>
      </x:c>
    </x:row>
    <x:row r="15" ht="15" hidden="0">
      <x:c r="A15" s="38" t="s">
        <x:v>177</x:v>
      </x:c>
      <x:c r="B15" s="39" t="n">
        <x:f aca="0">SUM(B6:B14)</x:f>
        <x:v>130393389</x:v>
      </x:c>
      <x:c r="C15" s="40" t="n">
        <x:f aca="0">SUM(C6:C14)</x:f>
        <x:v>5822459759.619703</x:v>
      </x:c>
      <x:c r="D15" s="40" t="n">
        <x:f aca="0">SUM(D6:D14)</x:f>
        <x:v>809913000</x:v>
      </x:c>
      <x:c r="E15" s="40" t="n">
        <x:f aca="0">SUM(E6:E14)</x:f>
        <x:v>7535698205.86323</x:v>
      </x:c>
      <x:c r="F15" s="40" t="n">
        <x:f aca="0">SUM(F6:F14)</x:f>
        <x:v>1398617016.4591346</x:v>
      </x:c>
      <x:c r="G15" s="40" t="n">
        <x:f aca="0">SUM(G6:G14)</x:f>
        <x:v>785154987.1421199</x:v>
      </x:c>
      <x:c r="H15" s="40" t="n">
        <x:f aca="0">SUM(H6:H14)</x:f>
        <x:v>7305341472.394493</x:v>
      </x:c>
      <x:c r="I15" s="40" t="n">
        <x:f aca="0">SUM(I6:I14)</x:f>
        <x:v>273481832.2422924</x:v>
      </x:c>
      <x:c r="J15" s="40" t="n">
        <x:f aca="0">SUM(J6:J14)</x:f>
        <x:v>221371900</x:v>
      </x:c>
      <x:c r="K15" s="40" t="n">
        <x:f aca="0">SUM(K6:K14)</x:f>
        <x:v>2059717314.8949757</x:v>
      </x:c>
    </x:row>
    <x:row r="16" ht="15" hidden="0">
      <x:c r="A16" s="6" t="s">
        <x:v>178</x:v>
      </x:c>
      <x:c r="B16" s="11"/>
      <x:c r="C16" s="21" t="n">
        <x:f aca="0">Calculadora!C35</x:f>
        <x:v>5822459759.619701</x:v>
      </x:c>
      <x:c r="D16" s="21" t="n">
        <x:f aca="0">Calculadora!C36</x:f>
        <x:v>809913000</x:v>
      </x:c>
      <x:c r="E16" s="21" t="n">
        <x:f aca="0">Calculadora!C37</x:f>
        <x:v>7535698205.86323</x:v>
      </x:c>
      <x:c r="F16" s="21" t="n">
        <x:f aca="0">Calculadora!D35</x:f>
        <x:v>1398617016.4591348</x:v>
      </x:c>
      <x:c r="G16" s="21" t="n">
        <x:f aca="0">Calculadora!D36</x:f>
        <x:v>785154987.1421198</x:v>
      </x:c>
      <x:c r="H16" s="21" t="n">
        <x:f aca="0">Calculadora!D37</x:f>
        <x:v>7305341472.394491</x:v>
      </x:c>
      <x:c r="I16" s="21" t="n">
        <x:f aca="0">Calculadora!E35</x:f>
        <x:v>273481832.24229234</x:v>
      </x:c>
      <x:c r="J16" s="21" t="n">
        <x:f aca="0">Calculadora!E36</x:f>
        <x:v>221371900</x:v>
      </x:c>
      <x:c r="K16" s="21" t="n">
        <x:f aca="0">Calculadora!E37</x:f>
        <x:v>2059717314.8949757</x:v>
      </x:c>
    </x:row>
    <x:row r="17" ht="15" hidden="0">
      <x:c r="A17" s="6" t="s">
        <x:v>179</x:v>
      </x:c>
      <x:c r="B17" s="11"/>
      <x:c r="C17" s="41" t="n">
        <x:f aca="0">C15-C16</x:f>
        <x:v>0.0000019073486328125</x:v>
      </x:c>
      <x:c r="D17" s="41" t="n">
        <x:f aca="0">D15-D16</x:f>
        <x:v>0</x:v>
      </x:c>
      <x:c r="E17" s="41" t="n">
        <x:f aca="0">E15-E16</x:f>
        <x:v>0</x:v>
      </x:c>
      <x:c r="F17" s="41" t="n">
        <x:f aca="0">F15-F16</x:f>
        <x:v>-2.384185791015625e-7</x:v>
      </x:c>
      <x:c r="G17" s="41" t="n">
        <x:f aca="0">G15-G16</x:f>
        <x:v>1.1920928955078125e-7</x:v>
      </x:c>
      <x:c r="H17" s="41" t="n">
        <x:f aca="0">H15-H16</x:f>
        <x:v>0.0000019073486328125</x:v>
      </x:c>
      <x:c r="I17" s="41" t="n">
        <x:f aca="0">I15-I16</x:f>
        <x:v>5.960464477539063e-8</x:v>
      </x:c>
      <x:c r="J17" s="41" t="n">
        <x:f aca="0">J15-J16</x:f>
        <x:v>0</x:v>
      </x:c>
      <x:c r="K17" s="41" t="n">
        <x:f aca="0">K15-K16</x:f>
        <x:v>0</x:v>
      </x:c>
    </x:row>
  </x:sheetData>
  <x:mergeCells>
    <x:mergeCell ref="A1:K1"/>
    <x:mergeCell ref="A2:K2"/>
    <x:mergeCell ref="C4:E4"/>
    <x:mergeCell ref="F4:H4"/>
    <x:mergeCell ref="I4:K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6" style="1" hidden="0" customWidth="1"/>
    <x:col min="2" max="2" width="10" style="1" hidden="0" customWidth="1"/>
    <x:col min="3" max="3" width="30" style="1" hidden="0" customWidth="1"/>
    <x:col min="4" max="4" width="22" style="1" hidden="0" customWidth="1"/>
    <x:col min="5" max="5" width="10" style="1" hidden="0" customWidth="1"/>
    <x:col min="6" max="6" width="18" style="1" hidden="0" customWidth="1"/>
    <x:col min="7" max="7" width="3" style="1" hidden="0" customWidth="1"/>
    <x:col min="8" max="8" width="12" style="1" hidden="0" customWidth="1"/>
    <x:col min="9" max="9" width="16" style="1" hidden="0" customWidth="1"/>
    <x:col min="10" max="10" width="24" style="1" hidden="0" customWidth="1"/>
    <x:col min="11" max="11" width="3" style="1" hidden="0" customWidth="1"/>
  </x:cols>
  <x:sheetData>
    <x:row r="1" ht="24" hidden="0" customHeight="1">
      <x:c r="A1" s="2" t="s">
        <x:v>180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hidden="0" customHeight="1">
      <x:c r="A2" s="3" t="s">
        <x:v>181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42" hidden="0" customHeight="1">
      <x:c r="A4" s="10" t="s">
        <x:v>182</x:v>
      </x:c>
      <x:c r="B4" s="10" t="s">
        <x:v>183</x:v>
      </x:c>
      <x:c r="C4" s="10" t="s">
        <x:v>184</x:v>
      </x:c>
      <x:c r="D4" s="10" t="s">
        <x:v>185</x:v>
      </x:c>
      <x:c r="E4" s="10" t="s">
        <x:v>186</x:v>
      </x:c>
      <x:c r="F4" s="10" t="s">
        <x:v>187</x:v>
      </x:c>
      <x:c r="H4" s="10" t="s">
        <x:v>183</x:v>
      </x:c>
      <x:c r="I4" s="10" t="s">
        <x:v>188</x:v>
      </x:c>
      <x:c r="J4" s="10" t="s">
        <x:v>189</x:v>
      </x:c>
    </x:row>
    <x:row r="5" ht="15" hidden="0">
      <x:c r="A5" s="6" t="n">
        <x:v>1</x:v>
      </x:c>
      <x:c r="B5" s="6" t="s">
        <x:v>26</x:v>
      </x:c>
      <x:c r="C5" s="11" t="s">
        <x:v>190</x:v>
      </x:c>
      <x:c r="D5" s="42" t="n">
        <x:v>0.219294840330269</x:v>
      </x:c>
      <x:c r="E5" s="43" t="n">
        <x:v>1</x:v>
      </x:c>
      <x:c r="F5" s="44" t="n">
        <x:f aca="0">IF(E5=1,D5,"")</x:f>
        <x:v>0.219294840330269</x:v>
      </x:c>
      <x:c r="H5" s="6" t="s">
        <x:v>26</x:v>
      </x:c>
      <x:c r="I5" s="45" t="n">
        <x:f aca="0">COUNT(F5:F34)</x:f>
        <x:v>30</x:v>
      </x:c>
      <x:c r="J5" s="46" t="n">
        <x:f aca="0">MEDIAN(F5:F34)</x:f>
        <x:v>0.3977276289882745</x:v>
      </x:c>
    </x:row>
    <x:row r="6" ht="15" hidden="0">
      <x:c r="A6" s="6" t="n">
        <x:v>2</x:v>
      </x:c>
      <x:c r="B6" s="6" t="s">
        <x:v>26</x:v>
      </x:c>
      <x:c r="C6" s="11" t="s">
        <x:v>191</x:v>
      </x:c>
      <x:c r="D6" s="42" t="n">
        <x:v>0.953298337905261</x:v>
      </x:c>
      <x:c r="E6" s="43" t="n">
        <x:v>1</x:v>
      </x:c>
      <x:c r="F6" s="44" t="n">
        <x:f aca="0">IF(E6=1,D6,"")</x:f>
        <x:v>0.953298337905261</x:v>
      </x:c>
      <x:c r="H6" s="6" t="s">
        <x:v>27</x:v>
      </x:c>
      <x:c r="I6" s="45" t="n">
        <x:f aca="0">COUNT(F35:F56)</x:f>
        <x:v>22</x:v>
      </x:c>
      <x:c r="J6" s="46" t="n">
        <x:f aca="0">MEDIAN(F35:F56)</x:f>
        <x:v>0.5384462188404615</x:v>
      </x:c>
    </x:row>
    <x:row r="7" ht="15" hidden="0">
      <x:c r="A7" s="6" t="n">
        <x:v>3</x:v>
      </x:c>
      <x:c r="B7" s="6" t="s">
        <x:v>26</x:v>
      </x:c>
      <x:c r="C7" s="11" t="s">
        <x:v>192</x:v>
      </x:c>
      <x:c r="D7" s="42" t="n">
        <x:v>0.103945441499047</x:v>
      </x:c>
      <x:c r="E7" s="43" t="n">
        <x:v>1</x:v>
      </x:c>
      <x:c r="F7" s="44" t="n">
        <x:f aca="0">IF(E7=1,D7,"")</x:f>
        <x:v>0.103945441499047</x:v>
      </x:c>
      <x:c r="H7" s="6" t="s">
        <x:v>28</x:v>
      </x:c>
      <x:c r="I7" s="45" t="n">
        <x:f aca="0">COUNT(F57:F101)</x:f>
        <x:v>45</x:v>
      </x:c>
      <x:c r="J7" s="46" t="n">
        <x:f aca="0">MEDIAN(F57:F101)</x:f>
        <x:v>0.0947331904108124</x:v>
      </x:c>
    </x:row>
    <x:row r="8" ht="15" hidden="0">
      <x:c r="A8" s="6" t="n">
        <x:v>4</x:v>
      </x:c>
      <x:c r="B8" s="6" t="s">
        <x:v>26</x:v>
      </x:c>
      <x:c r="C8" s="11" t="s">
        <x:v>193</x:v>
      </x:c>
      <x:c r="D8" s="42" t="n">
        <x:v>1.06884547166427</x:v>
      </x:c>
      <x:c r="E8" s="43" t="n">
        <x:v>1</x:v>
      </x:c>
      <x:c r="F8" s="44" t="n">
        <x:f aca="0">IF(E8=1,D8,"")</x:f>
        <x:v>1.06884547166427</x:v>
      </x:c>
    </x:row>
    <x:row r="9" ht="42" hidden="0" customHeight="1">
      <x:c r="A9" s="6" t="n">
        <x:v>5</x:v>
      </x:c>
      <x:c r="B9" s="6" t="s">
        <x:v>26</x:v>
      </x:c>
      <x:c r="C9" s="11" t="s">
        <x:v>194</x:v>
      </x:c>
      <x:c r="D9" s="42" t="n">
        <x:v>0.272559257902707</x:v>
      </x:c>
      <x:c r="E9" s="43" t="n">
        <x:v>1</x:v>
      </x:c>
      <x:c r="F9" s="44" t="n">
        <x:f aca="0">IF(E9=1,D9,"")</x:f>
        <x:v>0.272559257902707</x:v>
      </x:c>
      <x:c r="H9" s="3" t="s">
        <x:v>195</x:v>
      </x:c>
      <x:c r="I9" s="3"/>
      <x:c r="J9" s="3"/>
    </x:row>
    <x:row r="10" ht="15" hidden="0">
      <x:c r="A10" s="6" t="n">
        <x:v>6</x:v>
      </x:c>
      <x:c r="B10" s="6" t="s">
        <x:v>26</x:v>
      </x:c>
      <x:c r="C10" s="11" t="s">
        <x:v>196</x:v>
      </x:c>
      <x:c r="D10" s="42" t="n">
        <x:v>0.326373050975126</x:v>
      </x:c>
      <x:c r="E10" s="43" t="n">
        <x:v>1</x:v>
      </x:c>
      <x:c r="F10" s="44" t="n">
        <x:f aca="0">IF(E10=1,D10,"")</x:f>
        <x:v>0.326373050975126</x:v>
      </x:c>
    </x:row>
    <x:row r="11" ht="15" hidden="0">
      <x:c r="A11" s="6" t="n">
        <x:v>7</x:v>
      </x:c>
      <x:c r="B11" s="6" t="s">
        <x:v>26</x:v>
      </x:c>
      <x:c r="C11" s="11" t="s">
        <x:v>197</x:v>
      </x:c>
      <x:c r="D11" s="42" t="n">
        <x:v>0.35454697975198</x:v>
      </x:c>
      <x:c r="E11" s="43" t="n">
        <x:v>1</x:v>
      </x:c>
      <x:c r="F11" s="44" t="n">
        <x:f aca="0">IF(E11=1,D11,"")</x:f>
        <x:v>0.35454697975198</x:v>
      </x:c>
    </x:row>
    <x:row r="12" ht="15" hidden="0">
      <x:c r="A12" s="6" t="n">
        <x:v>8</x:v>
      </x:c>
      <x:c r="B12" s="6" t="s">
        <x:v>26</x:v>
      </x:c>
      <x:c r="C12" s="11" t="s">
        <x:v>198</x:v>
      </x:c>
      <x:c r="D12" s="42" t="n">
        <x:v>0.465786057688551</x:v>
      </x:c>
      <x:c r="E12" s="43" t="n">
        <x:v>1</x:v>
      </x:c>
      <x:c r="F12" s="44" t="n">
        <x:f aca="0">IF(E12=1,D12,"")</x:f>
        <x:v>0.465786057688551</x:v>
      </x:c>
    </x:row>
    <x:row r="13" ht="15" hidden="0">
      <x:c r="A13" s="6" t="n">
        <x:v>9</x:v>
      </x:c>
      <x:c r="B13" s="6" t="s">
        <x:v>26</x:v>
      </x:c>
      <x:c r="C13" s="11" t="s">
        <x:v>199</x:v>
      </x:c>
      <x:c r="D13" s="42" t="n">
        <x:v>0.707620983274306</x:v>
      </x:c>
      <x:c r="E13" s="43" t="n">
        <x:v>1</x:v>
      </x:c>
      <x:c r="F13" s="44" t="n">
        <x:f aca="0">IF(E13=1,D13,"")</x:f>
        <x:v>0.707620983274306</x:v>
      </x:c>
    </x:row>
    <x:row r="14" ht="15" hidden="0">
      <x:c r="A14" s="6" t="n">
        <x:v>10</x:v>
      </x:c>
      <x:c r="B14" s="6" t="s">
        <x:v>26</x:v>
      </x:c>
      <x:c r="C14" s="11" t="s">
        <x:v>200</x:v>
      </x:c>
      <x:c r="D14" s="42" t="n">
        <x:v>0.450709595115273</x:v>
      </x:c>
      <x:c r="E14" s="43" t="n">
        <x:v>1</x:v>
      </x:c>
      <x:c r="F14" s="44" t="n">
        <x:f aca="0">IF(E14=1,D14,"")</x:f>
        <x:v>0.450709595115273</x:v>
      </x:c>
    </x:row>
    <x:row r="15" ht="15" hidden="0">
      <x:c r="A15" s="6" t="n">
        <x:v>11</x:v>
      </x:c>
      <x:c r="B15" s="6" t="s">
        <x:v>26</x:v>
      </x:c>
      <x:c r="C15" s="11" t="s">
        <x:v>201</x:v>
      </x:c>
      <x:c r="D15" s="42" t="n">
        <x:v>0.266535246308891</x:v>
      </x:c>
      <x:c r="E15" s="43" t="n">
        <x:v>1</x:v>
      </x:c>
      <x:c r="F15" s="44" t="n">
        <x:f aca="0">IF(E15=1,D15,"")</x:f>
        <x:v>0.266535246308891</x:v>
      </x:c>
    </x:row>
    <x:row r="16" ht="15" hidden="0">
      <x:c r="A16" s="6" t="n">
        <x:v>12</x:v>
      </x:c>
      <x:c r="B16" s="6" t="s">
        <x:v>26</x:v>
      </x:c>
      <x:c r="C16" s="11" t="s">
        <x:v>202</x:v>
      </x:c>
      <x:c r="D16" s="42" t="n">
        <x:v>1.0894413017612</x:v>
      </x:c>
      <x:c r="E16" s="43" t="n">
        <x:v>1</x:v>
      </x:c>
      <x:c r="F16" s="44" t="n">
        <x:f aca="0">IF(E16=1,D16,"")</x:f>
        <x:v>1.0894413017612</x:v>
      </x:c>
    </x:row>
    <x:row r="17" ht="15" hidden="0">
      <x:c r="A17" s="6" t="n">
        <x:v>13</x:v>
      </x:c>
      <x:c r="B17" s="6" t="s">
        <x:v>26</x:v>
      </x:c>
      <x:c r="C17" s="11" t="s">
        <x:v>203</x:v>
      </x:c>
      <x:c r="D17" s="42" t="n">
        <x:v>0.289079047236291</x:v>
      </x:c>
      <x:c r="E17" s="43" t="n">
        <x:v>1</x:v>
      </x:c>
      <x:c r="F17" s="44" t="n">
        <x:f aca="0">IF(E17=1,D17,"")</x:f>
        <x:v>0.289079047236291</x:v>
      </x:c>
    </x:row>
    <x:row r="18" ht="15" hidden="0">
      <x:c r="A18" s="6" t="n">
        <x:v>14</x:v>
      </x:c>
      <x:c r="B18" s="6" t="s">
        <x:v>26</x:v>
      </x:c>
      <x:c r="C18" s="11" t="s">
        <x:v>204</x:v>
      </x:c>
      <x:c r="D18" s="42" t="n">
        <x:v>0.14137137721177</x:v>
      </x:c>
      <x:c r="E18" s="43" t="n">
        <x:v>1</x:v>
      </x:c>
      <x:c r="F18" s="44" t="n">
        <x:f aca="0">IF(E18=1,D18,"")</x:f>
        <x:v>0.14137137721177</x:v>
      </x:c>
    </x:row>
    <x:row r="19" ht="15" hidden="0">
      <x:c r="A19" s="6" t="n">
        <x:v>15</x:v>
      </x:c>
      <x:c r="B19" s="6" t="s">
        <x:v>26</x:v>
      </x:c>
      <x:c r="C19" s="11" t="s">
        <x:v>205</x:v>
      </x:c>
      <x:c r="D19" s="42" t="n">
        <x:v>0.59000487359021</x:v>
      </x:c>
      <x:c r="E19" s="43" t="n">
        <x:v>1</x:v>
      </x:c>
      <x:c r="F19" s="44" t="n">
        <x:f aca="0">IF(E19=1,D19,"")</x:f>
        <x:v>0.59000487359021</x:v>
      </x:c>
    </x:row>
    <x:row r="20" ht="15" hidden="0">
      <x:c r="A20" s="6" t="n">
        <x:v>16</x:v>
      </x:c>
      <x:c r="B20" s="6" t="s">
        <x:v>26</x:v>
      </x:c>
      <x:c r="C20" s="11" t="s">
        <x:v>206</x:v>
      </x:c>
      <x:c r="D20" s="42" t="n">
        <x:v>0.54421333238495</x:v>
      </x:c>
      <x:c r="E20" s="43" t="n">
        <x:v>1</x:v>
      </x:c>
      <x:c r="F20" s="44" t="n">
        <x:f aca="0">IF(E20=1,D20,"")</x:f>
        <x:v>0.54421333238495</x:v>
      </x:c>
    </x:row>
    <x:row r="21" ht="15" hidden="0">
      <x:c r="A21" s="6" t="n">
        <x:v>17</x:v>
      </x:c>
      <x:c r="B21" s="6" t="s">
        <x:v>26</x:v>
      </x:c>
      <x:c r="C21" s="11" t="s">
        <x:v>207</x:v>
      </x:c>
      <x:c r="D21" s="42" t="n">
        <x:v>0.760023851509094</x:v>
      </x:c>
      <x:c r="E21" s="43" t="n">
        <x:v>1</x:v>
      </x:c>
      <x:c r="F21" s="44" t="n">
        <x:f aca="0">IF(E21=1,D21,"")</x:f>
        <x:v>0.760023851509094</x:v>
      </x:c>
    </x:row>
    <x:row r="22" ht="15" hidden="0">
      <x:c r="A22" s="6" t="n">
        <x:v>18</x:v>
      </x:c>
      <x:c r="B22" s="6" t="s">
        <x:v>26</x:v>
      </x:c>
      <x:c r="C22" s="11" t="s">
        <x:v>208</x:v>
      </x:c>
      <x:c r="D22" s="42" t="n">
        <x:v>0.151285509451777</x:v>
      </x:c>
      <x:c r="E22" s="43" t="n">
        <x:v>1</x:v>
      </x:c>
      <x:c r="F22" s="44" t="n">
        <x:f aca="0">IF(E22=1,D22,"")</x:f>
        <x:v>0.151285509451777</x:v>
      </x:c>
    </x:row>
    <x:row r="23" ht="15" hidden="0">
      <x:c r="A23" s="6" t="n">
        <x:v>19</x:v>
      </x:c>
      <x:c r="B23" s="6" t="s">
        <x:v>26</x:v>
      </x:c>
      <x:c r="C23" s="11" t="s">
        <x:v>209</x:v>
      </x:c>
      <x:c r="D23" s="42" t="n">
        <x:v>0.897061230088226</x:v>
      </x:c>
      <x:c r="E23" s="43" t="n">
        <x:v>1</x:v>
      </x:c>
      <x:c r="F23" s="44" t="n">
        <x:f aca="0">IF(E23=1,D23,"")</x:f>
        <x:v>0.897061230088226</x:v>
      </x:c>
    </x:row>
    <x:row r="24" ht="15" hidden="0">
      <x:c r="A24" s="6" t="n">
        <x:v>20</x:v>
      </x:c>
      <x:c r="B24" s="6" t="s">
        <x:v>26</x:v>
      </x:c>
      <x:c r="C24" s="11" t="s">
        <x:v>210</x:v>
      </x:c>
      <x:c r="D24" s="42" t="n">
        <x:v>0.38336920691442</x:v>
      </x:c>
      <x:c r="E24" s="43" t="n">
        <x:v>1</x:v>
      </x:c>
      <x:c r="F24" s="44" t="n">
        <x:f aca="0">IF(E24=1,D24,"")</x:f>
        <x:v>0.38336920691442</x:v>
      </x:c>
    </x:row>
    <x:row r="25" ht="15" hidden="0">
      <x:c r="A25" s="6" t="n">
        <x:v>21</x:v>
      </x:c>
      <x:c r="B25" s="6" t="s">
        <x:v>26</x:v>
      </x:c>
      <x:c r="C25" s="11" t="s">
        <x:v>211</x:v>
      </x:c>
      <x:c r="D25" s="42" t="n">
        <x:v>0.422480870721103</x:v>
      </x:c>
      <x:c r="E25" s="43" t="n">
        <x:v>1</x:v>
      </x:c>
      <x:c r="F25" s="44" t="n">
        <x:f aca="0">IF(E25=1,D25,"")</x:f>
        <x:v>0.422480870721103</x:v>
      </x:c>
    </x:row>
    <x:row r="26" ht="15" hidden="0">
      <x:c r="A26" s="6" t="n">
        <x:v>22</x:v>
      </x:c>
      <x:c r="B26" s="6" t="s">
        <x:v>26</x:v>
      </x:c>
      <x:c r="C26" s="11" t="s">
        <x:v>212</x:v>
      </x:c>
      <x:c r="D26" s="42" t="n">
        <x:v>0.132079827293808</x:v>
      </x:c>
      <x:c r="E26" s="43" t="n">
        <x:v>1</x:v>
      </x:c>
      <x:c r="F26" s="44" t="n">
        <x:f aca="0">IF(E26=1,D26,"")</x:f>
        <x:v>0.132079827293808</x:v>
      </x:c>
    </x:row>
    <x:row r="27" ht="15" hidden="0">
      <x:c r="A27" s="6" t="n">
        <x:v>23</x:v>
      </x:c>
      <x:c r="B27" s="6" t="s">
        <x:v>26</x:v>
      </x:c>
      <x:c r="C27" s="11" t="s">
        <x:v>213</x:v>
      </x:c>
      <x:c r="D27" s="42" t="n">
        <x:v>0.312447228845112</x:v>
      </x:c>
      <x:c r="E27" s="43" t="n">
        <x:v>1</x:v>
      </x:c>
      <x:c r="F27" s="44" t="n">
        <x:f aca="0">IF(E27=1,D27,"")</x:f>
        <x:v>0.312447228845112</x:v>
      </x:c>
    </x:row>
    <x:row r="28" ht="15" hidden="0">
      <x:c r="A28" s="6" t="n">
        <x:v>24</x:v>
      </x:c>
      <x:c r="B28" s="6" t="s">
        <x:v>26</x:v>
      </x:c>
      <x:c r="C28" s="11" t="s">
        <x:v>214</x:v>
      </x:c>
      <x:c r="D28" s="42" t="n">
        <x:v>0.349568238675912</x:v>
      </x:c>
      <x:c r="E28" s="43" t="n">
        <x:v>1</x:v>
      </x:c>
      <x:c r="F28" s="44" t="n">
        <x:f aca="0">IF(E28=1,D28,"")</x:f>
        <x:v>0.349568238675912</x:v>
      </x:c>
    </x:row>
    <x:row r="29" ht="15" hidden="0">
      <x:c r="A29" s="6" t="n">
        <x:v>25</x:v>
      </x:c>
      <x:c r="B29" s="6" t="s">
        <x:v>26</x:v>
      </x:c>
      <x:c r="C29" s="11" t="s">
        <x:v>215</x:v>
      </x:c>
      <x:c r="D29" s="42" t="n">
        <x:v>0.415289376879319</x:v>
      </x:c>
      <x:c r="E29" s="43" t="n">
        <x:v>1</x:v>
      </x:c>
      <x:c r="F29" s="44" t="n">
        <x:f aca="0">IF(E29=1,D29,"")</x:f>
        <x:v>0.415289376879319</x:v>
      </x:c>
    </x:row>
    <x:row r="30" ht="15" hidden="0">
      <x:c r="A30" s="6" t="n">
        <x:v>26</x:v>
      </x:c>
      <x:c r="B30" s="6" t="s">
        <x:v>26</x:v>
      </x:c>
      <x:c r="C30" s="11" t="s">
        <x:v>216</x:v>
      </x:c>
      <x:c r="D30" s="42" t="n">
        <x:v>0.222572818362564</x:v>
      </x:c>
      <x:c r="E30" s="43" t="n">
        <x:v>1</x:v>
      </x:c>
      <x:c r="F30" s="44" t="n">
        <x:f aca="0">IF(E30=1,D30,"")</x:f>
        <x:v>0.222572818362564</x:v>
      </x:c>
    </x:row>
    <x:row r="31" ht="15" hidden="0">
      <x:c r="A31" s="6" t="n">
        <x:v>27</x:v>
      </x:c>
      <x:c r="B31" s="6" t="s">
        <x:v>26</x:v>
      </x:c>
      <x:c r="C31" s="11" t="s">
        <x:v>217</x:v>
      </x:c>
      <x:c r="D31" s="42" t="n">
        <x:v>0.321677296453418</x:v>
      </x:c>
      <x:c r="E31" s="43" t="n">
        <x:v>1</x:v>
      </x:c>
      <x:c r="F31" s="44" t="n">
        <x:f aca="0">IF(E31=1,D31,"")</x:f>
        <x:v>0.321677296453418</x:v>
      </x:c>
    </x:row>
    <x:row r="32" ht="15" hidden="0">
      <x:c r="A32" s="6" t="n">
        <x:v>28</x:v>
      </x:c>
      <x:c r="B32" s="6" t="s">
        <x:v>26</x:v>
      </x:c>
      <x:c r="C32" s="11" t="s">
        <x:v>218</x:v>
      </x:c>
      <x:c r="D32" s="42" t="n">
        <x:v>0.540248616987252</x:v>
      </x:c>
      <x:c r="E32" s="43" t="n">
        <x:v>1</x:v>
      </x:c>
      <x:c r="F32" s="44" t="n">
        <x:f aca="0">IF(E32=1,D32,"")</x:f>
        <x:v>0.540248616987252</x:v>
      </x:c>
    </x:row>
    <x:row r="33" ht="15" hidden="0">
      <x:c r="A33" s="6" t="n">
        <x:v>29</x:v>
      </x:c>
      <x:c r="B33" s="6" t="s">
        <x:v>26</x:v>
      </x:c>
      <x:c r="C33" s="11" t="s">
        <x:v>219</x:v>
      </x:c>
      <x:c r="D33" s="42" t="n">
        <x:v>0.412086051062129</x:v>
      </x:c>
      <x:c r="E33" s="43" t="n">
        <x:v>1</x:v>
      </x:c>
      <x:c r="F33" s="44" t="n">
        <x:f aca="0">IF(E33=1,D33,"")</x:f>
        <x:v>0.412086051062129</x:v>
      </x:c>
    </x:row>
    <x:row r="34" ht="15" hidden="0">
      <x:c r="A34" s="6" t="n">
        <x:v>30</x:v>
      </x:c>
      <x:c r="B34" s="6" t="s">
        <x:v>26</x:v>
      </x:c>
      <x:c r="C34" s="11" t="s">
        <x:v>220</x:v>
      </x:c>
      <x:c r="D34" s="42" t="n">
        <x:v>0.75968912389884</x:v>
      </x:c>
      <x:c r="E34" s="43" t="n">
        <x:v>1</x:v>
      </x:c>
      <x:c r="F34" s="44" t="n">
        <x:f aca="0">IF(E34=1,D34,"")</x:f>
        <x:v>0.75968912389884</x:v>
      </x:c>
    </x:row>
    <x:row r="35" ht="15" hidden="0">
      <x:c r="A35" s="6" t="n">
        <x:v>1</x:v>
      </x:c>
      <x:c r="B35" s="6" t="s">
        <x:v>27</x:v>
      </x:c>
      <x:c r="C35" s="11" t="s">
        <x:v>221</x:v>
      </x:c>
      <x:c r="D35" s="42" t="n">
        <x:v>1.5347188059462</x:v>
      </x:c>
      <x:c r="E35" s="43" t="n">
        <x:v>1</x:v>
      </x:c>
      <x:c r="F35" s="44" t="n">
        <x:f aca="0">IF(E35=1,D35,"")</x:f>
        <x:v>1.5347188059462</x:v>
      </x:c>
    </x:row>
    <x:row r="36" ht="15" hidden="0">
      <x:c r="A36" s="6" t="n">
        <x:v>2</x:v>
      </x:c>
      <x:c r="B36" s="6" t="s">
        <x:v>27</x:v>
      </x:c>
      <x:c r="C36" s="11" t="s">
        <x:v>222</x:v>
      </x:c>
      <x:c r="D36" s="42" t="n">
        <x:v>0.474652616637649</x:v>
      </x:c>
      <x:c r="E36" s="43" t="n">
        <x:v>1</x:v>
      </x:c>
      <x:c r="F36" s="44" t="n">
        <x:f aca="0">IF(E36=1,D36,"")</x:f>
        <x:v>0.474652616637649</x:v>
      </x:c>
    </x:row>
    <x:row r="37" ht="15" hidden="0">
      <x:c r="A37" s="6" t="n">
        <x:v>3</x:v>
      </x:c>
      <x:c r="B37" s="6" t="s">
        <x:v>27</x:v>
      </x:c>
      <x:c r="C37" s="11" t="s">
        <x:v>223</x:v>
      </x:c>
      <x:c r="D37" s="42" t="n">
        <x:v>1.04891748966754</x:v>
      </x:c>
      <x:c r="E37" s="43" t="n">
        <x:v>1</x:v>
      </x:c>
      <x:c r="F37" s="44" t="n">
        <x:f aca="0">IF(E37=1,D37,"")</x:f>
        <x:v>1.04891748966754</x:v>
      </x:c>
    </x:row>
    <x:row r="38" ht="15" hidden="0">
      <x:c r="A38" s="6" t="n">
        <x:v>4</x:v>
      </x:c>
      <x:c r="B38" s="6" t="s">
        <x:v>27</x:v>
      </x:c>
      <x:c r="C38" s="11" t="s">
        <x:v>224</x:v>
      </x:c>
      <x:c r="D38" s="42" t="n">
        <x:v>1.30354865669205</x:v>
      </x:c>
      <x:c r="E38" s="43" t="n">
        <x:v>1</x:v>
      </x:c>
      <x:c r="F38" s="44" t="n">
        <x:f aca="0">IF(E38=1,D38,"")</x:f>
        <x:v>1.30354865669205</x:v>
      </x:c>
    </x:row>
    <x:row r="39" ht="15" hidden="0">
      <x:c r="A39" s="6" t="n">
        <x:v>5</x:v>
      </x:c>
      <x:c r="B39" s="6" t="s">
        <x:v>27</x:v>
      </x:c>
      <x:c r="C39" s="11" t="s">
        <x:v>225</x:v>
      </x:c>
      <x:c r="D39" s="42" t="n">
        <x:v>0.739210529943537</x:v>
      </x:c>
      <x:c r="E39" s="43" t="n">
        <x:v>1</x:v>
      </x:c>
      <x:c r="F39" s="44" t="n">
        <x:f aca="0">IF(E39=1,D39,"")</x:f>
        <x:v>0.739210529943537</x:v>
      </x:c>
    </x:row>
    <x:row r="40" ht="15" hidden="0">
      <x:c r="A40" s="6" t="n">
        <x:v>6</x:v>
      </x:c>
      <x:c r="B40" s="6" t="s">
        <x:v>27</x:v>
      </x:c>
      <x:c r="C40" s="11" t="s">
        <x:v>226</x:v>
      </x:c>
      <x:c r="D40" s="42" t="n">
        <x:v>1.63357810599277</x:v>
      </x:c>
      <x:c r="E40" s="43" t="n">
        <x:v>1</x:v>
      </x:c>
      <x:c r="F40" s="44" t="n">
        <x:f aca="0">IF(E40=1,D40,"")</x:f>
        <x:v>1.63357810599277</x:v>
      </x:c>
    </x:row>
    <x:row r="41" ht="15" hidden="0">
      <x:c r="A41" s="6" t="n">
        <x:v>7</x:v>
      </x:c>
      <x:c r="B41" s="6" t="s">
        <x:v>27</x:v>
      </x:c>
      <x:c r="C41" s="11" t="s">
        <x:v>227</x:v>
      </x:c>
      <x:c r="D41" s="42" t="n">
        <x:v>0.668409711105351</x:v>
      </x:c>
      <x:c r="E41" s="43" t="n">
        <x:v>1</x:v>
      </x:c>
      <x:c r="F41" s="44" t="n">
        <x:f aca="0">IF(E41=1,D41,"")</x:f>
        <x:v>0.668409711105351</x:v>
      </x:c>
    </x:row>
    <x:row r="42" ht="15" hidden="0">
      <x:c r="A42" s="6" t="n">
        <x:v>8</x:v>
      </x:c>
      <x:c r="B42" s="6" t="s">
        <x:v>27</x:v>
      </x:c>
      <x:c r="C42" s="11" t="s">
        <x:v>228</x:v>
      </x:c>
      <x:c r="D42" s="42" t="n">
        <x:v>0.511064531096791</x:v>
      </x:c>
      <x:c r="E42" s="43" t="n">
        <x:v>1</x:v>
      </x:c>
      <x:c r="F42" s="44" t="n">
        <x:f aca="0">IF(E42=1,D42,"")</x:f>
        <x:v>0.511064531096791</x:v>
      </x:c>
    </x:row>
    <x:row r="43" ht="15" hidden="0">
      <x:c r="A43" s="6" t="n">
        <x:v>9</x:v>
      </x:c>
      <x:c r="B43" s="6" t="s">
        <x:v>27</x:v>
      </x:c>
      <x:c r="C43" s="11" t="s">
        <x:v>229</x:v>
      </x:c>
      <x:c r="D43" s="42" t="n">
        <x:v>0.494047770794576</x:v>
      </x:c>
      <x:c r="E43" s="43" t="n">
        <x:v>1</x:v>
      </x:c>
      <x:c r="F43" s="44" t="n">
        <x:f aca="0">IF(E43=1,D43,"")</x:f>
        <x:v>0.494047770794576</x:v>
      </x:c>
    </x:row>
    <x:row r="44" ht="15" hidden="0">
      <x:c r="A44" s="6" t="n">
        <x:v>10</x:v>
      </x:c>
      <x:c r="B44" s="6" t="s">
        <x:v>27</x:v>
      </x:c>
      <x:c r="C44" s="11" t="s">
        <x:v>229</x:v>
      </x:c>
      <x:c r="D44" s="42" t="n">
        <x:v>0.702027931017214</x:v>
      </x:c>
      <x:c r="E44" s="43" t="n">
        <x:v>1</x:v>
      </x:c>
      <x:c r="F44" s="44" t="n">
        <x:f aca="0">IF(E44=1,D44,"")</x:f>
        <x:v>0.702027931017214</x:v>
      </x:c>
    </x:row>
    <x:row r="45" ht="15" hidden="0">
      <x:c r="A45" s="6" t="n">
        <x:v>11</x:v>
      </x:c>
      <x:c r="B45" s="6" t="s">
        <x:v>27</x:v>
      </x:c>
      <x:c r="C45" s="11" t="s">
        <x:v>230</x:v>
      </x:c>
      <x:c r="D45" s="42" t="n">
        <x:v>0.883735969813243</x:v>
      </x:c>
      <x:c r="E45" s="43" t="n">
        <x:v>1</x:v>
      </x:c>
      <x:c r="F45" s="44" t="n">
        <x:f aca="0">IF(E45=1,D45,"")</x:f>
        <x:v>0.883735969813243</x:v>
      </x:c>
    </x:row>
    <x:row r="46" ht="15" hidden="0">
      <x:c r="A46" s="6" t="n">
        <x:v>12</x:v>
      </x:c>
      <x:c r="B46" s="6" t="s">
        <x:v>27</x:v>
      </x:c>
      <x:c r="C46" s="11" t="s">
        <x:v>231</x:v>
      </x:c>
      <x:c r="D46" s="42" t="n">
        <x:v>1.07283830283014</x:v>
      </x:c>
      <x:c r="E46" s="43" t="n">
        <x:v>1</x:v>
      </x:c>
      <x:c r="F46" s="44" t="n">
        <x:f aca="0">IF(E46=1,D46,"")</x:f>
        <x:v>1.07283830283014</x:v>
      </x:c>
    </x:row>
    <x:row r="47" ht="15" hidden="0">
      <x:c r="A47" s="6" t="n">
        <x:v>13</x:v>
      </x:c>
      <x:c r="B47" s="6" t="s">
        <x:v>27</x:v>
      </x:c>
      <x:c r="C47" s="11" t="s">
        <x:v>232</x:v>
      </x:c>
      <x:c r="D47" s="42" t="n">
        <x:v>0.888531514006448</x:v>
      </x:c>
      <x:c r="E47" s="43" t="n">
        <x:v>1</x:v>
      </x:c>
      <x:c r="F47" s="44" t="n">
        <x:f aca="0">IF(E47=1,D47,"")</x:f>
        <x:v>0.888531514006448</x:v>
      </x:c>
    </x:row>
    <x:row r="48" ht="15" hidden="0">
      <x:c r="A48" s="6" t="n">
        <x:v>14</x:v>
      </x:c>
      <x:c r="B48" s="6" t="s">
        <x:v>27</x:v>
      </x:c>
      <x:c r="C48" s="11" t="s">
        <x:v>233</x:v>
      </x:c>
      <x:c r="D48" s="42" t="n">
        <x:v>0.565827906584132</x:v>
      </x:c>
      <x:c r="E48" s="43" t="n">
        <x:v>1</x:v>
      </x:c>
      <x:c r="F48" s="44" t="n">
        <x:f aca="0">IF(E48=1,D48,"")</x:f>
        <x:v>0.565827906584132</x:v>
      </x:c>
    </x:row>
    <x:row r="49" ht="15" hidden="0">
      <x:c r="A49" s="6" t="n">
        <x:v>15</x:v>
      </x:c>
      <x:c r="B49" s="6" t="s">
        <x:v>27</x:v>
      </x:c>
      <x:c r="C49" s="11" t="s">
        <x:v>234</x:v>
      </x:c>
      <x:c r="D49" s="42" t="n">
        <x:v>0.307297266430444</x:v>
      </x:c>
      <x:c r="E49" s="43" t="n">
        <x:v>1</x:v>
      </x:c>
      <x:c r="F49" s="44" t="n">
        <x:f aca="0">IF(E49=1,D49,"")</x:f>
        <x:v>0.307297266430444</x:v>
      </x:c>
    </x:row>
    <x:row r="50" ht="15" hidden="0">
      <x:c r="A50" s="6" t="n">
        <x:v>16</x:v>
      </x:c>
      <x:c r="B50" s="6" t="s">
        <x:v>27</x:v>
      </x:c>
      <x:c r="C50" s="11" t="s">
        <x:v>235</x:v>
      </x:c>
      <x:c r="D50" s="42" t="n">
        <x:v>0.348231936566622</x:v>
      </x:c>
      <x:c r="E50" s="43" t="n">
        <x:v>1</x:v>
      </x:c>
      <x:c r="F50" s="44" t="n">
        <x:f aca="0">IF(E50=1,D50,"")</x:f>
        <x:v>0.348231936566622</x:v>
      </x:c>
    </x:row>
    <x:row r="51" ht="15" hidden="0">
      <x:c r="A51" s="6" t="n">
        <x:v>17</x:v>
      </x:c>
      <x:c r="B51" s="6" t="s">
        <x:v>27</x:v>
      </x:c>
      <x:c r="C51" s="11" t="s">
        <x:v>236</x:v>
      </x:c>
      <x:c r="D51" s="42" t="n">
        <x:v>0.267822074509149</x:v>
      </x:c>
      <x:c r="E51" s="43" t="n">
        <x:v>1</x:v>
      </x:c>
      <x:c r="F51" s="44" t="n">
        <x:f aca="0">IF(E51=1,D51,"")</x:f>
        <x:v>0.267822074509149</x:v>
      </x:c>
    </x:row>
    <x:row r="52" ht="15" hidden="0">
      <x:c r="A52" s="6" t="n">
        <x:v>18</x:v>
      </x:c>
      <x:c r="B52" s="6" t="s">
        <x:v>27</x:v>
      </x:c>
      <x:c r="C52" s="11" t="s">
        <x:v>237</x:v>
      </x:c>
      <x:c r="D52" s="42" t="n">
        <x:v>0.453423964343036</x:v>
      </x:c>
      <x:c r="E52" s="43" t="n">
        <x:v>1</x:v>
      </x:c>
      <x:c r="F52" s="44" t="n">
        <x:f aca="0">IF(E52=1,D52,"")</x:f>
        <x:v>0.453423964343036</x:v>
      </x:c>
    </x:row>
    <x:row r="53" ht="15" hidden="0">
      <x:c r="A53" s="6" t="n">
        <x:v>19</x:v>
      </x:c>
      <x:c r="B53" s="6" t="s">
        <x:v>27</x:v>
      </x:c>
      <x:c r="C53" s="11" t="s">
        <x:v>238</x:v>
      </x:c>
      <x:c r="D53" s="42" t="n">
        <x:v>0.220547740855207</x:v>
      </x:c>
      <x:c r="E53" s="43" t="n">
        <x:v>1</x:v>
      </x:c>
      <x:c r="F53" s="44" t="n">
        <x:f aca="0">IF(E53=1,D53,"")</x:f>
        <x:v>0.220547740855207</x:v>
      </x:c>
    </x:row>
    <x:row r="54" ht="15" hidden="0">
      <x:c r="A54" s="6" t="n">
        <x:v>20</x:v>
      </x:c>
      <x:c r="B54" s="6" t="s">
        <x:v>27</x:v>
      </x:c>
      <x:c r="C54" s="11" t="s">
        <x:v>239</x:v>
      </x:c>
      <x:c r="D54" s="42" t="n">
        <x:v>0.152987527848775</x:v>
      </x:c>
      <x:c r="E54" s="43" t="n">
        <x:v>1</x:v>
      </x:c>
      <x:c r="F54" s="44" t="n">
        <x:f aca="0">IF(E54=1,D54,"")</x:f>
        <x:v>0.152987527848775</x:v>
      </x:c>
    </x:row>
    <x:row r="55" ht="15" hidden="0">
      <x:c r="A55" s="6" t="n">
        <x:v>21</x:v>
      </x:c>
      <x:c r="B55" s="6" t="s">
        <x:v>27</x:v>
      </x:c>
      <x:c r="C55" s="11" t="s">
        <x:v>240</x:v>
      </x:c>
      <x:c r="D55" s="42" t="n">
        <x:v>0.267879643209225</x:v>
      </x:c>
      <x:c r="E55" s="43" t="n">
        <x:v>1</x:v>
      </x:c>
      <x:c r="F55" s="44" t="n">
        <x:f aca="0">IF(E55=1,D55,"")</x:f>
        <x:v>0.267879643209225</x:v>
      </x:c>
    </x:row>
    <x:row r="56" ht="15" hidden="0">
      <x:c r="A56" s="6" t="n">
        <x:v>22</x:v>
      </x:c>
      <x:c r="B56" s="6" t="s">
        <x:v>27</x:v>
      </x:c>
      <x:c r="C56" s="11" t="s">
        <x:v>241</x:v>
      </x:c>
      <x:c r="D56" s="42" t="n">
        <x:v>0.458589100589004</x:v>
      </x:c>
      <x:c r="E56" s="43" t="n">
        <x:v>1</x:v>
      </x:c>
      <x:c r="F56" s="44" t="n">
        <x:f aca="0">IF(E56=1,D56,"")</x:f>
        <x:v>0.458589100589004</x:v>
      </x:c>
    </x:row>
    <x:row r="57" ht="15" hidden="0">
      <x:c r="A57" s="6" t="n">
        <x:v>1</x:v>
      </x:c>
      <x:c r="B57" s="6" t="s">
        <x:v>28</x:v>
      </x:c>
      <x:c r="C57" s="11" t="s">
        <x:v>242</x:v>
      </x:c>
      <x:c r="D57" s="42" t="n">
        <x:v>0.0332397844844772</x:v>
      </x:c>
      <x:c r="E57" s="43" t="n">
        <x:v>1</x:v>
      </x:c>
      <x:c r="F57" s="44" t="n">
        <x:f aca="0">IF(E57=1,D57,"")</x:f>
        <x:v>0.0332397844844772</x:v>
      </x:c>
    </x:row>
    <x:row r="58" ht="15" hidden="0">
      <x:c r="A58" s="6" t="n">
        <x:v>2</x:v>
      </x:c>
      <x:c r="B58" s="6" t="s">
        <x:v>28</x:v>
      </x:c>
      <x:c r="C58" s="11" t="s">
        <x:v>243</x:v>
      </x:c>
      <x:c r="D58" s="42" t="n">
        <x:v>0.0612146735699757</x:v>
      </x:c>
      <x:c r="E58" s="43" t="n">
        <x:v>1</x:v>
      </x:c>
      <x:c r="F58" s="44" t="n">
        <x:f aca="0">IF(E58=1,D58,"")</x:f>
        <x:v>0.0612146735699757</x:v>
      </x:c>
    </x:row>
    <x:row r="59" ht="15" hidden="0">
      <x:c r="A59" s="6" t="n">
        <x:v>3</x:v>
      </x:c>
      <x:c r="B59" s="6" t="s">
        <x:v>28</x:v>
      </x:c>
      <x:c r="C59" s="11" t="s">
        <x:v>244</x:v>
      </x:c>
      <x:c r="D59" s="42" t="n">
        <x:v>0.0179973820915762</x:v>
      </x:c>
      <x:c r="E59" s="43" t="n">
        <x:v>1</x:v>
      </x:c>
      <x:c r="F59" s="44" t="n">
        <x:f aca="0">IF(E59=1,D59,"")</x:f>
        <x:v>0.0179973820915762</x:v>
      </x:c>
    </x:row>
    <x:row r="60" ht="15" hidden="0">
      <x:c r="A60" s="6" t="n">
        <x:v>4</x:v>
      </x:c>
      <x:c r="B60" s="6" t="s">
        <x:v>28</x:v>
      </x:c>
      <x:c r="C60" s="11" t="s">
        <x:v>245</x:v>
      </x:c>
      <x:c r="D60" s="42" t="n">
        <x:v>0.111974594610808</x:v>
      </x:c>
      <x:c r="E60" s="43" t="n">
        <x:v>1</x:v>
      </x:c>
      <x:c r="F60" s="44" t="n">
        <x:f aca="0">IF(E60=1,D60,"")</x:f>
        <x:v>0.111974594610808</x:v>
      </x:c>
    </x:row>
    <x:row r="61" ht="15" hidden="0">
      <x:c r="A61" s="6" t="n">
        <x:v>5</x:v>
      </x:c>
      <x:c r="B61" s="6" t="s">
        <x:v>28</x:v>
      </x:c>
      <x:c r="C61" s="11" t="s">
        <x:v>246</x:v>
      </x:c>
      <x:c r="D61" s="42" t="n">
        <x:v>0.111603122828193</x:v>
      </x:c>
      <x:c r="E61" s="43" t="n">
        <x:v>1</x:v>
      </x:c>
      <x:c r="F61" s="44" t="n">
        <x:f aca="0">IF(E61=1,D61,"")</x:f>
        <x:v>0.111603122828193</x:v>
      </x:c>
    </x:row>
    <x:row r="62" ht="15" hidden="0">
      <x:c r="A62" s="6" t="n">
        <x:v>6</x:v>
      </x:c>
      <x:c r="B62" s="6" t="s">
        <x:v>28</x:v>
      </x:c>
      <x:c r="C62" s="11" t="s">
        <x:v>247</x:v>
      </x:c>
      <x:c r="D62" s="42" t="n">
        <x:v>0.171880454082685</x:v>
      </x:c>
      <x:c r="E62" s="43" t="n">
        <x:v>1</x:v>
      </x:c>
      <x:c r="F62" s="44" t="n">
        <x:f aca="0">IF(E62=1,D62,"")</x:f>
        <x:v>0.171880454082685</x:v>
      </x:c>
    </x:row>
    <x:row r="63" ht="15" hidden="0">
      <x:c r="A63" s="6" t="n">
        <x:v>7</x:v>
      </x:c>
      <x:c r="B63" s="6" t="s">
        <x:v>28</x:v>
      </x:c>
      <x:c r="C63" s="11" t="s">
        <x:v>248</x:v>
      </x:c>
      <x:c r="D63" s="42" t="n">
        <x:v>0.134265040480469</x:v>
      </x:c>
      <x:c r="E63" s="43" t="n">
        <x:v>1</x:v>
      </x:c>
      <x:c r="F63" s="44" t="n">
        <x:f aca="0">IF(E63=1,D63,"")</x:f>
        <x:v>0.134265040480469</x:v>
      </x:c>
    </x:row>
    <x:row r="64" ht="15" hidden="0">
      <x:c r="A64" s="6" t="n">
        <x:v>8</x:v>
      </x:c>
      <x:c r="B64" s="6" t="s">
        <x:v>28</x:v>
      </x:c>
      <x:c r="C64" s="11" t="s">
        <x:v>249</x:v>
      </x:c>
      <x:c r="D64" s="42" t="n">
        <x:v>0.107617172939594</x:v>
      </x:c>
      <x:c r="E64" s="43" t="n">
        <x:v>1</x:v>
      </x:c>
      <x:c r="F64" s="44" t="n">
        <x:f aca="0">IF(E64=1,D64,"")</x:f>
        <x:v>0.107617172939594</x:v>
      </x:c>
    </x:row>
    <x:row r="65" ht="15" hidden="0">
      <x:c r="A65" s="6" t="n">
        <x:v>9</x:v>
      </x:c>
      <x:c r="B65" s="6" t="s">
        <x:v>28</x:v>
      </x:c>
      <x:c r="C65" s="11" t="s">
        <x:v>250</x:v>
      </x:c>
      <x:c r="D65" s="42" t="n">
        <x:v>0.0796010228346846</x:v>
      </x:c>
      <x:c r="E65" s="43" t="n">
        <x:v>1</x:v>
      </x:c>
      <x:c r="F65" s="44" t="n">
        <x:f aca="0">IF(E65=1,D65,"")</x:f>
        <x:v>0.0796010228346846</x:v>
      </x:c>
    </x:row>
    <x:row r="66" ht="15" hidden="0">
      <x:c r="A66" s="6" t="n">
        <x:v>10</x:v>
      </x:c>
      <x:c r="B66" s="6" t="s">
        <x:v>28</x:v>
      </x:c>
      <x:c r="C66" s="11" t="s">
        <x:v>251</x:v>
      </x:c>
      <x:c r="D66" s="42" t="n">
        <x:v>0.408523654178548</x:v>
      </x:c>
      <x:c r="E66" s="43" t="n">
        <x:v>1</x:v>
      </x:c>
      <x:c r="F66" s="44" t="n">
        <x:f aca="0">IF(E66=1,D66,"")</x:f>
        <x:v>0.408523654178548</x:v>
      </x:c>
    </x:row>
    <x:row r="67" ht="15" hidden="0">
      <x:c r="A67" s="6" t="n">
        <x:v>11</x:v>
      </x:c>
      <x:c r="B67" s="6" t="s">
        <x:v>28</x:v>
      </x:c>
      <x:c r="C67" s="11" t="s">
        <x:v>252</x:v>
      </x:c>
      <x:c r="D67" s="42" t="n">
        <x:v>0.304063110195509</x:v>
      </x:c>
      <x:c r="E67" s="43" t="n">
        <x:v>1</x:v>
      </x:c>
      <x:c r="F67" s="44" t="n">
        <x:f aca="0">IF(E67=1,D67,"")</x:f>
        <x:v>0.304063110195509</x:v>
      </x:c>
    </x:row>
    <x:row r="68" ht="15" hidden="0">
      <x:c r="A68" s="6" t="n">
        <x:v>12</x:v>
      </x:c>
      <x:c r="B68" s="6" t="s">
        <x:v>28</x:v>
      </x:c>
      <x:c r="C68" s="11" t="s">
        <x:v>253</x:v>
      </x:c>
      <x:c r="D68" s="42" t="n">
        <x:v>0.0868821424695662</x:v>
      </x:c>
      <x:c r="E68" s="43" t="n">
        <x:v>1</x:v>
      </x:c>
      <x:c r="F68" s="44" t="n">
        <x:f aca="0">IF(E68=1,D68,"")</x:f>
        <x:v>0.0868821424695662</x:v>
      </x:c>
    </x:row>
    <x:row r="69" ht="15" hidden="0">
      <x:c r="A69" s="6" t="n">
        <x:v>13</x:v>
      </x:c>
      <x:c r="B69" s="6" t="s">
        <x:v>28</x:v>
      </x:c>
      <x:c r="C69" s="11" t="s">
        <x:v>254</x:v>
      </x:c>
      <x:c r="D69" s="42" t="n">
        <x:v>0.265177707941668</x:v>
      </x:c>
      <x:c r="E69" s="43" t="n">
        <x:v>1</x:v>
      </x:c>
      <x:c r="F69" s="44" t="n">
        <x:f aca="0">IF(E69=1,D69,"")</x:f>
        <x:v>0.265177707941668</x:v>
      </x:c>
    </x:row>
    <x:row r="70" ht="15" hidden="0">
      <x:c r="A70" s="6" t="n">
        <x:v>14</x:v>
      </x:c>
      <x:c r="B70" s="6" t="s">
        <x:v>28</x:v>
      </x:c>
      <x:c r="C70" s="11" t="s">
        <x:v>255</x:v>
      </x:c>
      <x:c r="D70" s="42" t="n">
        <x:v>0.0200874689173158</x:v>
      </x:c>
      <x:c r="E70" s="43" t="n">
        <x:v>1</x:v>
      </x:c>
      <x:c r="F70" s="44" t="n">
        <x:f aca="0">IF(E70=1,D70,"")</x:f>
        <x:v>0.0200874689173158</x:v>
      </x:c>
    </x:row>
    <x:row r="71" ht="15" hidden="0">
      <x:c r="A71" s="6" t="n">
        <x:v>15</x:v>
      </x:c>
      <x:c r="B71" s="6" t="s">
        <x:v>28</x:v>
      </x:c>
      <x:c r="C71" s="11" t="s">
        <x:v>256</x:v>
      </x:c>
      <x:c r="D71" s="42" t="n">
        <x:v>0.116226457571449</x:v>
      </x:c>
      <x:c r="E71" s="43" t="n">
        <x:v>1</x:v>
      </x:c>
      <x:c r="F71" s="44" t="n">
        <x:f aca="0">IF(E71=1,D71,"")</x:f>
        <x:v>0.116226457571449</x:v>
      </x:c>
    </x:row>
    <x:row r="72" ht="15" hidden="0">
      <x:c r="A72" s="6" t="n">
        <x:v>16</x:v>
      </x:c>
      <x:c r="B72" s="6" t="s">
        <x:v>28</x:v>
      </x:c>
      <x:c r="C72" s="11" t="s">
        <x:v>257</x:v>
      </x:c>
      <x:c r="D72" s="42" t="n">
        <x:v>0.0108892477312957</x:v>
      </x:c>
      <x:c r="E72" s="43" t="n">
        <x:v>1</x:v>
      </x:c>
      <x:c r="F72" s="44" t="n">
        <x:f aca="0">IF(E72=1,D72,"")</x:f>
        <x:v>0.0108892477312957</x:v>
      </x:c>
    </x:row>
    <x:row r="73" ht="15" hidden="0">
      <x:c r="A73" s="6" t="n">
        <x:v>17</x:v>
      </x:c>
      <x:c r="B73" s="6" t="s">
        <x:v>28</x:v>
      </x:c>
      <x:c r="C73" s="11" t="s">
        <x:v>258</x:v>
      </x:c>
      <x:c r="D73" s="42" t="n">
        <x:v>0.0149046154727238</x:v>
      </x:c>
      <x:c r="E73" s="43" t="n">
        <x:v>1</x:v>
      </x:c>
      <x:c r="F73" s="44" t="n">
        <x:f aca="0">IF(E73=1,D73,"")</x:f>
        <x:v>0.0149046154727238</x:v>
      </x:c>
    </x:row>
    <x:row r="74" ht="15" hidden="0">
      <x:c r="A74" s="6" t="n">
        <x:v>18</x:v>
      </x:c>
      <x:c r="B74" s="6" t="s">
        <x:v>28</x:v>
      </x:c>
      <x:c r="C74" s="11" t="s">
        <x:v>259</x:v>
      </x:c>
      <x:c r="D74" s="42" t="n">
        <x:v>0.176461975051989</x:v>
      </x:c>
      <x:c r="E74" s="43" t="n">
        <x:v>1</x:v>
      </x:c>
      <x:c r="F74" s="44" t="n">
        <x:f aca="0">IF(E74=1,D74,"")</x:f>
        <x:v>0.176461975051989</x:v>
      </x:c>
    </x:row>
    <x:row r="75" ht="15" hidden="0">
      <x:c r="A75" s="6" t="n">
        <x:v>19</x:v>
      </x:c>
      <x:c r="B75" s="6" t="s">
        <x:v>28</x:v>
      </x:c>
      <x:c r="C75" s="11" t="s">
        <x:v>260</x:v>
      </x:c>
      <x:c r="D75" s="42" t="n">
        <x:v>0.157176198356211</x:v>
      </x:c>
      <x:c r="E75" s="43" t="n">
        <x:v>1</x:v>
      </x:c>
      <x:c r="F75" s="44" t="n">
        <x:f aca="0">IF(E75=1,D75,"")</x:f>
        <x:v>0.157176198356211</x:v>
      </x:c>
    </x:row>
    <x:row r="76" ht="15" hidden="0">
      <x:c r="A76" s="6" t="n">
        <x:v>20</x:v>
      </x:c>
      <x:c r="B76" s="6" t="s">
        <x:v>28</x:v>
      </x:c>
      <x:c r="C76" s="11" t="s">
        <x:v>261</x:v>
      </x:c>
      <x:c r="D76" s="42" t="n">
        <x:v>0.142047833570732</x:v>
      </x:c>
      <x:c r="E76" s="43" t="n">
        <x:v>1</x:v>
      </x:c>
      <x:c r="F76" s="44" t="n">
        <x:f aca="0">IF(E76=1,D76,"")</x:f>
        <x:v>0.142047833570732</x:v>
      </x:c>
    </x:row>
    <x:row r="77" ht="15" hidden="0">
      <x:c r="A77" s="6" t="n">
        <x:v>21</x:v>
      </x:c>
      <x:c r="B77" s="6" t="s">
        <x:v>28</x:v>
      </x:c>
      <x:c r="C77" s="11" t="s">
        <x:v>262</x:v>
      </x:c>
      <x:c r="D77" s="42" t="n">
        <x:v>0.0624181661103631</x:v>
      </x:c>
      <x:c r="E77" s="43" t="n">
        <x:v>1</x:v>
      </x:c>
      <x:c r="F77" s="44" t="n">
        <x:f aca="0">IF(E77=1,D77,"")</x:f>
        <x:v>0.0624181661103631</x:v>
      </x:c>
    </x:row>
    <x:row r="78" ht="15" hidden="0">
      <x:c r="A78" s="6" t="n">
        <x:v>22</x:v>
      </x:c>
      <x:c r="B78" s="6" t="s">
        <x:v>28</x:v>
      </x:c>
      <x:c r="C78" s="11" t="s">
        <x:v>263</x:v>
      </x:c>
      <x:c r="D78" s="42" t="n">
        <x:v>0.181725418672469</x:v>
      </x:c>
      <x:c r="E78" s="43" t="n">
        <x:v>1</x:v>
      </x:c>
      <x:c r="F78" s="44" t="n">
        <x:f aca="0">IF(E78=1,D78,"")</x:f>
        <x:v>0.181725418672469</x:v>
      </x:c>
    </x:row>
    <x:row r="79" ht="15" hidden="0">
      <x:c r="A79" s="6" t="n">
        <x:v>23</x:v>
      </x:c>
      <x:c r="B79" s="6" t="s">
        <x:v>28</x:v>
      </x:c>
      <x:c r="C79" s="11" t="s">
        <x:v>264</x:v>
      </x:c>
      <x:c r="D79" s="42" t="n">
        <x:v>0.00390229569056428</x:v>
      </x:c>
      <x:c r="E79" s="43" t="n">
        <x:v>1</x:v>
      </x:c>
      <x:c r="F79" s="44" t="n">
        <x:f aca="0">IF(E79=1,D79,"")</x:f>
        <x:v>0.00390229569056428</x:v>
      </x:c>
    </x:row>
    <x:row r="80" ht="15" hidden="0">
      <x:c r="A80" s="6" t="n">
        <x:v>24</x:v>
      </x:c>
      <x:c r="B80" s="6" t="s">
        <x:v>28</x:v>
      </x:c>
      <x:c r="C80" s="11" t="s">
        <x:v>265</x:v>
      </x:c>
      <x:c r="D80" s="42" t="n">
        <x:v>0.00928030406471653</x:v>
      </x:c>
      <x:c r="E80" s="43" t="n">
        <x:v>1</x:v>
      </x:c>
      <x:c r="F80" s="44" t="n">
        <x:f aca="0">IF(E80=1,D80,"")</x:f>
        <x:v>0.00928030406471653</x:v>
      </x:c>
    </x:row>
    <x:row r="81" ht="15" hidden="0">
      <x:c r="A81" s="6" t="n">
        <x:v>25</x:v>
      </x:c>
      <x:c r="B81" s="6" t="s">
        <x:v>28</x:v>
      </x:c>
      <x:c r="C81" s="11" t="s">
        <x:v>266</x:v>
      </x:c>
      <x:c r="D81" s="42" t="n">
        <x:v>0.0747680510743733</x:v>
      </x:c>
      <x:c r="E81" s="43" t="n">
        <x:v>1</x:v>
      </x:c>
      <x:c r="F81" s="44" t="n">
        <x:f aca="0">IF(E81=1,D81,"")</x:f>
        <x:v>0.0747680510743733</x:v>
      </x:c>
    </x:row>
    <x:row r="82" ht="15" hidden="0">
      <x:c r="A82" s="6" t="n">
        <x:v>26</x:v>
      </x:c>
      <x:c r="B82" s="6" t="s">
        <x:v>28</x:v>
      </x:c>
      <x:c r="C82" s="11" t="s">
        <x:v>267</x:v>
      </x:c>
      <x:c r="D82" s="42" t="n">
        <x:v>0.193390107320709</x:v>
      </x:c>
      <x:c r="E82" s="43" t="n">
        <x:v>1</x:v>
      </x:c>
      <x:c r="F82" s="44" t="n">
        <x:f aca="0">IF(E82=1,D82,"")</x:f>
        <x:v>0.193390107320709</x:v>
      </x:c>
    </x:row>
    <x:row r="83" ht="15" hidden="0">
      <x:c r="A83" s="6" t="n">
        <x:v>27</x:v>
      </x:c>
      <x:c r="B83" s="6" t="s">
        <x:v>28</x:v>
      </x:c>
      <x:c r="C83" s="11" t="s">
        <x:v>268</x:v>
      </x:c>
      <x:c r="D83" s="42" t="n">
        <x:v>0.147367049821207</x:v>
      </x:c>
      <x:c r="E83" s="43" t="n">
        <x:v>1</x:v>
      </x:c>
      <x:c r="F83" s="44" t="n">
        <x:f aca="0">IF(E83=1,D83,"")</x:f>
        <x:v>0.147367049821207</x:v>
      </x:c>
    </x:row>
    <x:row r="84" ht="15" hidden="0">
      <x:c r="A84" s="6" t="n">
        <x:v>28</x:v>
      </x:c>
      <x:c r="B84" s="6" t="s">
        <x:v>28</x:v>
      </x:c>
      <x:c r="C84" s="11" t="s">
        <x:v>269</x:v>
      </x:c>
      <x:c r="D84" s="42" t="n">
        <x:v>0.238633678902714</x:v>
      </x:c>
      <x:c r="E84" s="43" t="n">
        <x:v>1</x:v>
      </x:c>
      <x:c r="F84" s="44" t="n">
        <x:f aca="0">IF(E84=1,D84,"")</x:f>
        <x:v>0.238633678902714</x:v>
      </x:c>
    </x:row>
    <x:row r="85" ht="15" hidden="0">
      <x:c r="A85" s="6" t="n">
        <x:v>29</x:v>
      </x:c>
      <x:c r="B85" s="6" t="s">
        <x:v>28</x:v>
      </x:c>
      <x:c r="C85" s="11" t="s">
        <x:v>270</x:v>
      </x:c>
      <x:c r="D85" s="42" t="n">
        <x:v>0.159940503972914</x:v>
      </x:c>
      <x:c r="E85" s="43" t="n">
        <x:v>1</x:v>
      </x:c>
      <x:c r="F85" s="44" t="n">
        <x:f aca="0">IF(E85=1,D85,"")</x:f>
        <x:v>0.159940503972914</x:v>
      </x:c>
    </x:row>
    <x:row r="86" ht="15" hidden="0">
      <x:c r="A86" s="6" t="n">
        <x:v>30</x:v>
      </x:c>
      <x:c r="B86" s="6" t="s">
        <x:v>28</x:v>
      </x:c>
      <x:c r="C86" s="11" t="s">
        <x:v>271</x:v>
      </x:c>
      <x:c r="D86" s="42" t="n">
        <x:v>0.120000353988355</x:v>
      </x:c>
      <x:c r="E86" s="43" t="n">
        <x:v>1</x:v>
      </x:c>
      <x:c r="F86" s="44" t="n">
        <x:f aca="0">IF(E86=1,D86,"")</x:f>
        <x:v>0.120000353988355</x:v>
      </x:c>
    </x:row>
    <x:row r="87" ht="15" hidden="0">
      <x:c r="A87" s="6" t="n">
        <x:v>31</x:v>
      </x:c>
      <x:c r="B87" s="6" t="s">
        <x:v>28</x:v>
      </x:c>
      <x:c r="C87" s="11" t="s">
        <x:v>272</x:v>
      </x:c>
      <x:c r="D87" s="42" t="n">
        <x:v>0.0947331904108124</x:v>
      </x:c>
      <x:c r="E87" s="43" t="n">
        <x:v>1</x:v>
      </x:c>
      <x:c r="F87" s="44" t="n">
        <x:f aca="0">IF(E87=1,D87,"")</x:f>
        <x:v>0.0947331904108124</x:v>
      </x:c>
    </x:row>
    <x:row r="88" ht="15" hidden="0">
      <x:c r="A88" s="6" t="n">
        <x:v>32</x:v>
      </x:c>
      <x:c r="B88" s="6" t="s">
        <x:v>28</x:v>
      </x:c>
      <x:c r="C88" s="11" t="s">
        <x:v>273</x:v>
      </x:c>
      <x:c r="D88" s="42" t="n">
        <x:v>0.161098545017626</x:v>
      </x:c>
      <x:c r="E88" s="43" t="n">
        <x:v>1</x:v>
      </x:c>
      <x:c r="F88" s="44" t="n">
        <x:f aca="0">IF(E88=1,D88,"")</x:f>
        <x:v>0.161098545017626</x:v>
      </x:c>
    </x:row>
    <x:row r="89" ht="15" hidden="0">
      <x:c r="A89" s="6" t="n">
        <x:v>33</x:v>
      </x:c>
      <x:c r="B89" s="6" t="s">
        <x:v>28</x:v>
      </x:c>
      <x:c r="C89" s="11" t="s">
        <x:v>274</x:v>
      </x:c>
      <x:c r="D89" s="42" t="n">
        <x:v>0.013833521105826</x:v>
      </x:c>
      <x:c r="E89" s="43" t="n">
        <x:v>1</x:v>
      </x:c>
      <x:c r="F89" s="44" t="n">
        <x:f aca="0">IF(E89=1,D89,"")</x:f>
        <x:v>0.013833521105826</x:v>
      </x:c>
    </x:row>
    <x:row r="90" ht="15" hidden="0">
      <x:c r="A90" s="6" t="n">
        <x:v>34</x:v>
      </x:c>
      <x:c r="B90" s="6" t="s">
        <x:v>28</x:v>
      </x:c>
      <x:c r="C90" s="11" t="s">
        <x:v>275</x:v>
      </x:c>
      <x:c r="D90" s="42" t="n">
        <x:v>0.289992204101857</x:v>
      </x:c>
      <x:c r="E90" s="43" t="n">
        <x:v>1</x:v>
      </x:c>
      <x:c r="F90" s="44" t="n">
        <x:f aca="0">IF(E90=1,D90,"")</x:f>
        <x:v>0.289992204101857</x:v>
      </x:c>
    </x:row>
    <x:row r="91" ht="15" hidden="0">
      <x:c r="A91" s="6" t="n">
        <x:v>35</x:v>
      </x:c>
      <x:c r="B91" s="6" t="s">
        <x:v>28</x:v>
      </x:c>
      <x:c r="C91" s="11" t="s">
        <x:v>276</x:v>
      </x:c>
      <x:c r="D91" s="42" t="n">
        <x:v>0.0698602058970152</x:v>
      </x:c>
      <x:c r="E91" s="43" t="n">
        <x:v>1</x:v>
      </x:c>
      <x:c r="F91" s="44" t="n">
        <x:f aca="0">IF(E91=1,D91,"")</x:f>
        <x:v>0.0698602058970152</x:v>
      </x:c>
    </x:row>
    <x:row r="92" ht="15" hidden="0">
      <x:c r="A92" s="6" t="n">
        <x:v>36</x:v>
      </x:c>
      <x:c r="B92" s="6" t="s">
        <x:v>28</x:v>
      </x:c>
      <x:c r="C92" s="11" t="s">
        <x:v>277</x:v>
      </x:c>
      <x:c r="D92" s="42" t="n">
        <x:v>0.243555827065203</x:v>
      </x:c>
      <x:c r="E92" s="43" t="n">
        <x:v>1</x:v>
      </x:c>
      <x:c r="F92" s="44" t="n">
        <x:f aca="0">IF(E92=1,D92,"")</x:f>
        <x:v>0.243555827065203</x:v>
      </x:c>
    </x:row>
    <x:row r="93" ht="15" hidden="0">
      <x:c r="A93" s="6" t="n">
        <x:v>37</x:v>
      </x:c>
      <x:c r="B93" s="6" t="s">
        <x:v>28</x:v>
      </x:c>
      <x:c r="C93" s="11" t="s">
        <x:v>278</x:v>
      </x:c>
      <x:c r="D93" s="42" t="n">
        <x:v>0.158324263147456</x:v>
      </x:c>
      <x:c r="E93" s="43" t="n">
        <x:v>1</x:v>
      </x:c>
      <x:c r="F93" s="44" t="n">
        <x:f aca="0">IF(E93=1,D93,"")</x:f>
        <x:v>0.158324263147456</x:v>
      </x:c>
    </x:row>
    <x:row r="94" ht="15" hidden="0">
      <x:c r="A94" s="6" t="n">
        <x:v>38</x:v>
      </x:c>
      <x:c r="B94" s="6" t="s">
        <x:v>28</x:v>
      </x:c>
      <x:c r="C94" s="11" t="s">
        <x:v>279</x:v>
      </x:c>
      <x:c r="D94" s="42" t="n">
        <x:v>0.0696690255738005</x:v>
      </x:c>
      <x:c r="E94" s="43" t="n">
        <x:v>1</x:v>
      </x:c>
      <x:c r="F94" s="44" t="n">
        <x:f aca="0">IF(E94=1,D94,"")</x:f>
        <x:v>0.0696690255738005</x:v>
      </x:c>
    </x:row>
    <x:row r="95" ht="15" hidden="0">
      <x:c r="A95" s="6" t="n">
        <x:v>39</x:v>
      </x:c>
      <x:c r="B95" s="6" t="s">
        <x:v>28</x:v>
      </x:c>
      <x:c r="C95" s="11" t="s">
        <x:v>280</x:v>
      </x:c>
      <x:c r="D95" s="42" t="n">
        <x:v>0.0653329280601479</x:v>
      </x:c>
      <x:c r="E95" s="43" t="n">
        <x:v>1</x:v>
      </x:c>
      <x:c r="F95" s="44" t="n">
        <x:f aca="0">IF(E95=1,D95,"")</x:f>
        <x:v>0.0653329280601479</x:v>
      </x:c>
    </x:row>
    <x:row r="96" ht="15" hidden="0">
      <x:c r="A96" s="6" t="n">
        <x:v>40</x:v>
      </x:c>
      <x:c r="B96" s="6" t="s">
        <x:v>28</x:v>
      </x:c>
      <x:c r="C96" s="11" t="s">
        <x:v>281</x:v>
      </x:c>
      <x:c r="D96" s="42" t="n">
        <x:v>0.0472249469378751</x:v>
      </x:c>
      <x:c r="E96" s="43" t="n">
        <x:v>1</x:v>
      </x:c>
      <x:c r="F96" s="44" t="n">
        <x:f aca="0">IF(E96=1,D96,"")</x:f>
        <x:v>0.0472249469378751</x:v>
      </x:c>
    </x:row>
    <x:row r="97" ht="15" hidden="0">
      <x:c r="A97" s="6" t="n">
        <x:v>41</x:v>
      </x:c>
      <x:c r="B97" s="6" t="s">
        <x:v>28</x:v>
      </x:c>
      <x:c r="C97" s="11" t="s">
        <x:v>282</x:v>
      </x:c>
      <x:c r="D97" s="42" t="n">
        <x:v>0.0515613660776655</x:v>
      </x:c>
      <x:c r="E97" s="43" t="n">
        <x:v>1</x:v>
      </x:c>
      <x:c r="F97" s="44" t="n">
        <x:f aca="0">IF(E97=1,D97,"")</x:f>
        <x:v>0.0515613660776655</x:v>
      </x:c>
    </x:row>
    <x:row r="98" ht="15" hidden="0">
      <x:c r="A98" s="6" t="n">
        <x:v>42</x:v>
      </x:c>
      <x:c r="B98" s="6" t="s">
        <x:v>28</x:v>
      </x:c>
      <x:c r="C98" s="11" t="s">
        <x:v>283</x:v>
      </x:c>
      <x:c r="D98" s="42" t="n">
        <x:v>0.0382216743889706</x:v>
      </x:c>
      <x:c r="E98" s="43" t="n">
        <x:v>1</x:v>
      </x:c>
      <x:c r="F98" s="44" t="n">
        <x:f aca="0">IF(E98=1,D98,"")</x:f>
        <x:v>0.0382216743889706</x:v>
      </x:c>
    </x:row>
    <x:row r="99" ht="15" hidden="0">
      <x:c r="A99" s="6" t="n">
        <x:v>43</x:v>
      </x:c>
      <x:c r="B99" s="6" t="s">
        <x:v>28</x:v>
      </x:c>
      <x:c r="C99" s="11" t="s">
        <x:v>284</x:v>
      </x:c>
      <x:c r="D99" s="42" t="n">
        <x:v>0.0862230843935669</x:v>
      </x:c>
      <x:c r="E99" s="43" t="n">
        <x:v>1</x:v>
      </x:c>
      <x:c r="F99" s="44" t="n">
        <x:f aca="0">IF(E99=1,D99,"")</x:f>
        <x:v>0.0862230843935669</x:v>
      </x:c>
    </x:row>
    <x:row r="100" ht="15" hidden="0">
      <x:c r="A100" s="6" t="n">
        <x:v>44</x:v>
      </x:c>
      <x:c r="B100" s="6" t="s">
        <x:v>28</x:v>
      </x:c>
      <x:c r="C100" s="11" t="s">
        <x:v>285</x:v>
      </x:c>
      <x:c r="D100" s="42" t="n">
        <x:v>0.0664290364067194</x:v>
      </x:c>
      <x:c r="E100" s="43" t="n">
        <x:v>1</x:v>
      </x:c>
      <x:c r="F100" s="44" t="n">
        <x:f aca="0">IF(E100=1,D100,"")</x:f>
        <x:v>0.0664290364067194</x:v>
      </x:c>
    </x:row>
    <x:row r="101" ht="15" hidden="0">
      <x:c r="A101" s="6" t="n">
        <x:v>45</x:v>
      </x:c>
      <x:c r="B101" s="6" t="s">
        <x:v>28</x:v>
      </x:c>
      <x:c r="C101" s="11" t="s">
        <x:v>286</x:v>
      </x:c>
      <x:c r="D101" s="42" t="n">
        <x:v>0.0508969604033394</x:v>
      </x:c>
      <x:c r="E101" s="43" t="n">
        <x:v>1</x:v>
      </x:c>
      <x:c r="F101" s="44" t="n">
        <x:f aca="0">IF(E101=1,D101,"")</x:f>
        <x:v>0.0508969604033394</x:v>
      </x:c>
    </x:row>
  </x:sheetData>
  <x:mergeCells>
    <x:mergeCell ref="A1:K1"/>
    <x:mergeCell ref="A2:K2"/>
    <x:mergeCell ref="H9:J9"/>
  </x:mergeCells>
  <x:dataValidations count="1">
    <x:dataValidation type="list" errorStyle="stop" operator="between" allowBlank="0" showDropDown="0" showInputMessage="0" showErrorMessage="1" errorTitle="Incluir" error="Use 1 (incluir) o 0 (excluir)." sqref="E5:E101">
      <x:formula1>"1,0"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12" style="1" hidden="0" customWidth="1"/>
    <x:col min="2" max="2" width="16" style="1" hidden="0" customWidth="1"/>
    <x:col min="3" max="3" width="12" style="1" hidden="0" customWidth="1"/>
    <x:col min="4" max="6" width="15" style="1" hidden="0" customWidth="1"/>
    <x:col min="7" max="9" width="14" style="1" hidden="0" customWidth="1"/>
    <x:col min="10" max="12" width="13" style="1" hidden="0" customWidth="1"/>
  </x:cols>
  <x:sheetData>
    <x:row r="1" ht="24" hidden="0" customHeight="1">
      <x:c r="A1" s="2" t="s">
        <x:v>287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hidden="0" customHeight="1">
      <x:c r="A2" s="3" t="str">
        <x:v>Cuotas base verificadas contra Derechos!M6:M14 (600), L6:L14 (800) y D6:D14 (2.5 GHz) del cuadro de descuentos del 15 oct. Coinciden con la versión previa. Población y cobertura conservadas. Cuotas en MXN/kHz/año.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54" hidden="0" customHeight="1">
      <x:c r="A4" s="10" t="s">
        <x:v>172</x:v>
      </x:c>
      <x:c r="B4" s="10" t="s">
        <x:v>173</x:v>
      </x:c>
      <x:c r="C4" s="10" t="s">
        <x:v>288</x:v>
      </x:c>
      <x:c r="D4" s="10" t="s">
        <x:v>289</x:v>
      </x:c>
      <x:c r="E4" s="10" t="s">
        <x:v>290</x:v>
      </x:c>
      <x:c r="F4" s="10" t="s">
        <x:v>291</x:v>
      </x:c>
      <x:c r="G4" s="10" t="s">
        <x:v>292</x:v>
      </x:c>
      <x:c r="H4" s="10" t="s">
        <x:v>293</x:v>
      </x:c>
      <x:c r="I4" s="10" t="s">
        <x:v>294</x:v>
      </x:c>
      <x:c r="J4" s="10" t="s">
        <x:v>295</x:v>
      </x:c>
      <x:c r="K4" s="10" t="s">
        <x:v>296</x:v>
      </x:c>
      <x:c r="L4" s="10" t="s">
        <x:v>297</x:v>
      </x:c>
    </x:row>
    <x:row r="5" ht="15" hidden="0">
      <x:c r="A5" s="6" t="n">
        <x:v>1</x:v>
      </x:c>
      <x:c r="B5" s="47" t="n">
        <x:v>5135745</x:v>
      </x:c>
      <x:c r="C5" s="27" t="n">
        <x:f aca="0">B5/$B$14</x:f>
        <x:v>0.03938654435923895</x:v>
      </x:c>
      <x:c r="D5" s="48" t="n">
        <x:f>'Fuente descuentos'!C39</x:f>
        <x:v>2382.06</x:v>
      </x:c>
      <x:c r="E5" s="48" t="n">
        <x:f>'Fuente descuentos'!D39</x:f>
        <x:v>4772.37</x:v>
      </x:c>
      <x:c r="F5" s="48" t="n">
        <x:f>'Fuente descuentos'!E39</x:f>
        <x:v>1953.25</x:v>
      </x:c>
      <x:c r="G5" s="49" t="n">
        <x:f aca="0">D5/D$14</x:f>
        <x:v>0.08823392142118969</x:v>
      </x:c>
      <x:c r="H5" s="49" t="n">
        <x:f aca="0">E5/E$14</x:f>
        <x:v>0.0882339890466698</x:v>
      </x:c>
      <x:c r="I5" s="49" t="n">
        <x:f aca="0">F5/F$14</x:f>
        <x:v>0.08823387250143311</x:v>
      </x:c>
      <x:c r="J5" s="12" t="n">
        <x:v>1</x:v>
      </x:c>
      <x:c r="K5" s="12" t="n">
        <x:v>1</x:v>
      </x:c>
      <x:c r="L5" s="12" t="n">
        <x:v>1</x:v>
      </x:c>
    </x:row>
    <x:row r="6" ht="15" hidden="0">
      <x:c r="A6" s="6" t="n">
        <x:v>2</x:v>
      </x:c>
      <x:c r="B6" s="47" t="n">
        <x:v>5889145</x:v>
      </x:c>
      <x:c r="C6" s="27" t="n">
        <x:f aca="0">B6/$B$14</x:f>
        <x:v>0.04516444464834026</x:v>
      </x:c>
      <x:c r="D6" s="48" t="n">
        <x:f>'Fuente descuentos'!C40</x:f>
        <x:v>353.12</x:v>
      </x:c>
      <x:c r="E6" s="48" t="n">
        <x:f>'Fuente descuentos'!D40</x:f>
        <x:v>707.45</x:v>
      </x:c>
      <x:c r="F6" s="48" t="n">
        <x:f>'Fuente descuentos'!E40</x:f>
        <x:v>289.54</x:v>
      </x:c>
      <x:c r="G6" s="49" t="n">
        <x:f aca="0">D6/D$14</x:f>
        <x:v>0.013079923399179913</x:v>
      </x:c>
      <x:c r="H6" s="49" t="n">
        <x:f aca="0">E6/E$14</x:f>
        <x:v>0.013079693223925755</x:v>
      </x:c>
      <x:c r="I6" s="49" t="n">
        <x:f aca="0">F6/F$14</x:f>
        <x:v>0.013079347469123228</x:v>
      </x:c>
      <x:c r="J6" s="12" t="n">
        <x:v>1</x:v>
      </x:c>
      <x:c r="K6" s="12" t="n">
        <x:v>1</x:v>
      </x:c>
      <x:c r="L6" s="12" t="n">
        <x:v>1</x:v>
      </x:c>
    </x:row>
    <x:row r="7" ht="15" hidden="0">
      <x:c r="A7" s="6" t="n">
        <x:v>3</x:v>
      </x:c>
      <x:c r="B7" s="47" t="n">
        <x:v>6931670</x:v>
      </x:c>
      <x:c r="C7" s="27" t="n">
        <x:f aca="0">B7/$B$14</x:f>
        <x:v>0.05315967360891279</x:v>
      </x:c>
      <x:c r="D7" s="48" t="n">
        <x:f>'Fuente descuentos'!C41</x:f>
        <x:v>1499.82</x:v>
      </x:c>
      <x:c r="E7" s="48" t="n">
        <x:f>'Fuente descuentos'!D41</x:f>
        <x:v>3004.84</x:v>
      </x:c>
      <x:c r="F7" s="48" t="n">
        <x:f>'Fuente descuentos'!E41</x:f>
        <x:v>1229.83</x:v>
      </x:c>
      <x:c r="G7" s="49" t="n">
        <x:f aca="0">D7/D$14</x:f>
        <x:v>0.055554855891929135</x:v>
      </x:c>
      <x:c r="H7" s="49" t="n">
        <x:f aca="0">E7/E$14</x:f>
        <x:v>0.05555500090039023</x:v>
      </x:c>
      <x:c r="I7" s="49" t="n">
        <x:f aca="0">F7/F$14</x:f>
        <x:v>0.05555492815483808</x:v>
      </x:c>
      <x:c r="J7" s="12" t="n">
        <x:v>1</x:v>
      </x:c>
      <x:c r="K7" s="12" t="n">
        <x:v>1</x:v>
      </x:c>
      <x:c r="L7" s="12" t="n">
        <x:v>1</x:v>
      </x:c>
    </x:row>
    <x:row r="8" ht="15" hidden="0">
      <x:c r="A8" s="6" t="n">
        <x:v>4</x:v>
      </x:c>
      <x:c r="B8" s="47" t="n">
        <x:v>12176557</x:v>
      </x:c>
      <x:c r="C8" s="27" t="n">
        <x:f aca="0">B8/$B$14</x:f>
        <x:v>0.09338323893092464</x:v>
      </x:c>
      <x:c r="D8" s="48" t="n">
        <x:f>'Fuente descuentos'!C42</x:f>
        <x:v>7459.89</x:v>
      </x:c>
      <x:c r="E8" s="48" t="n">
        <x:f>'Fuente descuentos'!D42</x:f>
        <x:v>14945.58</x:v>
      </x:c>
      <x:c r="F8" s="48" t="n">
        <x:f>'Fuente descuentos'!E42</x:f>
        <x:v>6116.98</x:v>
      </x:c>
      <x:c r="G8" s="49" t="n">
        <x:f aca="0">D8/D$14</x:f>
        <x:v>0.27632190124124445</x:v>
      </x:c>
      <x:c r="H8" s="49" t="n">
        <x:f aca="0">E8/E$14</x:f>
        <x:v>0.2763214381986575</x:v>
      </x:c>
      <x:c r="I8" s="49" t="n">
        <x:f aca="0">F8/F$14</x:f>
        <x:v>0.2763214301363452</x:v>
      </x:c>
      <x:c r="J8" s="12" t="n">
        <x:v>1</x:v>
      </x:c>
      <x:c r="K8" s="12" t="n">
        <x:v>1</x:v>
      </x:c>
      <x:c r="L8" s="12" t="n">
        <x:v>1</x:v>
      </x:c>
    </x:row>
    <x:row r="9" ht="15" hidden="0">
      <x:c r="A9" s="6" t="n">
        <x:v>5</x:v>
      </x:c>
      <x:c r="B9" s="47" t="n">
        <x:v>16547039</x:v>
      </x:c>
      <x:c r="C9" s="27" t="n">
        <x:f aca="0">B9/$B$14</x:f>
        <x:v>0.12690090446226535</x:v>
      </x:c>
      <x:c r="D9" s="48" t="n">
        <x:f>'Fuente descuentos'!C43</x:f>
        <x:v>2897.25</x:v>
      </x:c>
      <x:c r="E9" s="48" t="n">
        <x:f>'Fuente descuentos'!D43</x:f>
        <x:v>5804.54</x:v>
      </x:c>
      <x:c r="F9" s="48" t="n">
        <x:f>'Fuente descuentos'!E43</x:f>
        <x:v>2375.7</x:v>
      </x:c>
      <x:c r="G9" s="49" t="n">
        <x:f aca="0">D9/D$14</x:f>
        <x:v>0.10731708220512574</x:v>
      </x:c>
      <x:c r="H9" s="49" t="n">
        <x:f aca="0">E9/E$14</x:f>
        <x:v>0.10731726978020495</x:v>
      </x:c>
      <x:c r="I9" s="49" t="n">
        <x:f aca="0">F9/F$14</x:f>
        <x:v>0.10731714368445136</x:v>
      </x:c>
      <x:c r="J9" s="12" t="n">
        <x:v>1</x:v>
      </x:c>
      <x:c r="K9" s="12" t="n">
        <x:v>1</x:v>
      </x:c>
      <x:c r="L9" s="12" t="n">
        <x:v>1</x:v>
      </x:c>
    </x:row>
    <x:row r="10" ht="15" hidden="0">
      <x:c r="A10" s="6" t="n">
        <x:v>6</x:v>
      </x:c>
      <x:c r="B10" s="47" t="n">
        <x:v>14455324</x:v>
      </x:c>
      <x:c r="C10" s="27" t="n">
        <x:f aca="0">B10/$B$14</x:f>
        <x:v>0.11085933198653193</x:v>
      </x:c>
      <x:c r="D10" s="48" t="n">
        <x:f>'Fuente descuentos'!C44</x:f>
        <x:v>1208.75</x:v>
      </x:c>
      <x:c r="E10" s="48" t="n">
        <x:f>'Fuente descuentos'!D44</x:f>
        <x:v>2421.69</x:v>
      </x:c>
      <x:c r="F10" s="48" t="n">
        <x:f>'Fuente descuentos'!E44</x:f>
        <x:v>991.16</x:v>
      </x:c>
      <x:c r="G10" s="49" t="n">
        <x:f aca="0">D10/D$14</x:f>
        <x:v>0.0447733275055469</x:v>
      </x:c>
      <x:c r="H10" s="49" t="n">
        <x:f aca="0">E10/E$14</x:f>
        <x:v>0.044773428911511426</x:v>
      </x:c>
      <x:c r="I10" s="49" t="n">
        <x:f aca="0">F10/F$14</x:f>
        <x:v>0.044773523649568894</x:v>
      </x:c>
      <x:c r="J10" s="12" t="n">
        <x:v>1</x:v>
      </x:c>
      <x:c r="K10" s="12" t="n">
        <x:v>1</x:v>
      </x:c>
      <x:c r="L10" s="12" t="n">
        <x:v>1</x:v>
      </x:c>
    </x:row>
    <x:row r="11" ht="15" hidden="0">
      <x:c r="A11" s="6" t="n">
        <x:v>7</x:v>
      </x:c>
      <x:c r="B11" s="47" t="n">
        <x:v>23379490</x:v>
      </x:c>
      <x:c r="C11" s="27" t="n">
        <x:f aca="0">B11/$B$14</x:f>
        <x:v>0.17929965759230324</x:v>
      </x:c>
      <x:c r="D11" s="48" t="n">
        <x:f>'Fuente descuentos'!C45</x:f>
        <x:v>206.49</x:v>
      </x:c>
      <x:c r="E11" s="48" t="n">
        <x:f>'Fuente descuentos'!D45</x:f>
        <x:v>413.71</x:v>
      </x:c>
      <x:c r="F11" s="48" t="n">
        <x:f>'Fuente descuentos'!E45</x:f>
        <x:v>169.32</x:v>
      </x:c>
      <x:c r="G11" s="49" t="n">
        <x:f aca="0">D11/D$14</x:f>
        <x:v>0.007648599293998245</x:v>
      </x:c>
      <x:c r="H11" s="49" t="n">
        <x:f aca="0">E11/E$14</x:f>
        <x:v>0.007648879615054525</x:v>
      </x:c>
      <x:c r="I11" s="49" t="n">
        <x:f aca="0">F11/F$14</x:f>
        <x:v>0.0076486672427711015</x:v>
      </x:c>
      <x:c r="J11" s="12" t="n">
        <x:v>1</x:v>
      </x:c>
      <x:c r="K11" s="12" t="n">
        <x:v>1</x:v>
      </x:c>
      <x:c r="L11" s="12" t="n">
        <x:v>1</x:v>
      </x:c>
    </x:row>
    <x:row r="12" ht="15" hidden="0">
      <x:c r="A12" s="6" t="n">
        <x:v>8</x:v>
      </x:c>
      <x:c r="B12" s="47" t="n">
        <x:v>13926029</x:v>
      </x:c>
      <x:c r="C12" s="27" t="n">
        <x:f aca="0">B12/$B$14</x:f>
        <x:v>0.10680011545677366</x:v>
      </x:c>
      <x:c r="D12" s="48" t="n">
        <x:f>'Fuente descuentos'!C46</x:f>
        <x:v>139.57</x:v>
      </x:c>
      <x:c r="E12" s="48" t="n">
        <x:f>'Fuente descuentos'!D46</x:f>
        <x:v>279.63</x:v>
      </x:c>
      <x:c r="F12" s="48" t="n">
        <x:f>'Fuente descuentos'!E46</x:f>
        <x:v>114.47</x:v>
      </x:c>
      <x:c r="G12" s="49" t="n">
        <x:f aca="0">D12/D$14</x:f>
        <x:v>0.005169814535635309</x:v>
      </x:c>
      <x:c r="H12" s="49" t="n">
        <x:f aca="0">E12/E$14</x:f>
        <x:v>0.0051699407961076525</x:v>
      </x:c>
      <x:c r="I12" s="49" t="n">
        <x:f aca="0">F12/F$14</x:f>
        <x:v>0.005170936329317317</x:v>
      </x:c>
      <x:c r="J12" s="12" t="n">
        <x:v>1</x:v>
      </x:c>
      <x:c r="K12" s="12" t="n">
        <x:v>1</x:v>
      </x:c>
      <x:c r="L12" s="12" t="n">
        <x:v>1</x:v>
      </x:c>
    </x:row>
    <x:row r="13" ht="15" hidden="0">
      <x:c r="A13" s="6" t="n">
        <x:v>9</x:v>
      </x:c>
      <x:c r="B13" s="47" t="n">
        <x:v>31952390</x:v>
      </x:c>
      <x:c r="C13" s="27" t="n">
        <x:f aca="0">B13/$B$14</x:f>
        <x:v>0.2450460889547092</x:v>
      </x:c>
      <x:c r="D13" s="48" t="n">
        <x:f>'Fuente descuentos'!C47</x:f>
        <x:v>10850.15</x:v>
      </x:c>
      <x:c r="E13" s="48" t="n">
        <x:f>'Fuente descuentos'!D47</x:f>
        <x:v>21737.85</x:v>
      </x:c>
      <x:c r="F13" s="48" t="n">
        <x:f>'Fuente descuentos'!E47</x:f>
        <x:v>8896.94</x:v>
      </x:c>
      <x:c r="G13" s="49" t="n">
        <x:f aca="0">D13/D$14</x:f>
        <x:v>0.4019005745061507</x:v>
      </x:c>
      <x:c r="H13" s="49" t="n">
        <x:f aca="0">E13/E$14</x:f>
        <x:v>0.40190035952747816</x:v>
      </x:c>
      <x:c r="I13" s="49" t="n">
        <x:f aca="0">F13/F$14</x:f>
        <x:v>0.40190015083215175</x:v>
      </x:c>
      <x:c r="J13" s="12" t="n">
        <x:v>1</x:v>
      </x:c>
      <x:c r="K13" s="12" t="n">
        <x:v>0.317783927900229</x:v>
      </x:c>
      <x:c r="L13" s="12" t="n">
        <x:v>1</x:v>
      </x:c>
    </x:row>
    <x:row r="14" ht="15" hidden="0">
      <x:c r="A14" s="38" t="s">
        <x:v>177</x:v>
      </x:c>
      <x:c r="B14" s="39" t="n">
        <x:f aca="0">SUM(B5:B13)</x:f>
        <x:v>130393389</x:v>
      </x:c>
      <x:c r="C14" s="50" t="n">
        <x:f aca="0">SUM(C5:C13)</x:f>
        <x:v>1</x:v>
      </x:c>
      <x:c r="D14" s="51" t="n">
        <x:f aca="0">SUM(D5:D13)</x:f>
        <x:v>26997.1</x:v>
      </x:c>
      <x:c r="E14" s="51" t="n">
        <x:f aca="0">SUM(E5:E13)</x:f>
        <x:v>54087.659999999996</x:v>
      </x:c>
      <x:c r="F14" s="51" t="n">
        <x:f aca="0">SUM(F5:F13)</x:f>
        <x:v>22137.19</x:v>
      </x:c>
      <x:c r="G14" s="52" t="n">
        <x:f aca="0">SUM(G5:G13)</x:f>
        <x:v>0.9999999999999999</x:v>
      </x:c>
      <x:c r="H14" s="52" t="n">
        <x:f aca="0">SUM(H5:H13)</x:f>
        <x:v>1</x:v>
      </x:c>
      <x:c r="I14" s="52" t="n">
        <x:f aca="0">SUM(I5:I13)</x:f>
        <x:v>1</x:v>
      </x:c>
      <x:c r="J14" s="11"/>
      <x:c r="K14" s="11"/>
      <x:c r="L14" s="11"/>
    </x:row>
    <x:row r="16" ht="15" hidden="0" customHeight="1">
      <x:c r="A16" s="53" t="s">
        <x:v>298</x:v>
      </x:c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</x:row>
    <x:row r="17" ht="27.75" hidden="0" customHeight="1">
      <x:c r="A17" s="54" t="s">
        <x:v>299</x:v>
      </x:c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</x:row>
    <x:row r="18" ht="27.75" hidden="0" customHeight="1">
      <x:c r="A18" s="54" t="s">
        <x:v>300</x:v>
      </x:c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</x:row>
    <x:row r="19" ht="15" hidden="0" customHeight="1">
      <x:c r="A19" s="54" t="s">
        <x:v>301</x:v>
      </x:c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</x:row>
  </x:sheetData>
  <x:mergeCells>
    <x:mergeCell ref="A1:L1"/>
    <x:mergeCell ref="A2:L2"/>
    <x:mergeCell ref="A16:L16"/>
    <x:mergeCell ref="A17:L17"/>
    <x:mergeCell ref="A18:L18"/>
    <x:mergeCell ref="A19:L19"/>
  </x:mergeCells>
  <x:dataValidations count="1">
    <x:dataValidation type="decimal" errorStyle="stop" operator="between" allowBlank="0" showDropDown="0" showInputMessage="0" showErrorMessage="1" errorTitle="Cobertura" error="Ingrese un valor entre 0% y 100%." sqref="J5:L13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18be11491f364e8f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style="1" hidden="0" customWidth="1"/>
    <x:col min="2" max="2" width="10" style="1" hidden="0" customWidth="1"/>
    <x:col min="3" max="3" width="34" style="1" hidden="0" customWidth="1"/>
    <x:col min="4" max="4" width="18" style="1" hidden="0" customWidth="1"/>
    <x:col min="5" max="5" width="20" style="1" hidden="0" customWidth="1"/>
    <x:col min="6" max="7" width="14" style="1" hidden="0" customWidth="1"/>
    <x:col min="8" max="8" width="22" style="1" hidden="0" customWidth="1"/>
    <x:col min="9" max="9" width="50" style="1" hidden="0" customWidth="1"/>
  </x:cols>
  <x:sheetData>
    <x:row r="1" ht="24" hidden="0" customHeight="1">
      <x:c r="A1" s="2" t="s">
        <x:v>302</x:v>
      </x:c>
      <x:c r="B1" s="2"/>
      <x:c r="C1" s="2"/>
      <x:c r="D1" s="2"/>
      <x:c r="E1" s="2"/>
      <x:c r="F1" s="2"/>
      <x:c r="G1" s="2"/>
      <x:c r="H1" s="2"/>
      <x:c r="I1" s="2"/>
    </x:row>
    <x:row r="2" ht="30" hidden="0" customHeight="1">
      <x:c r="A2" s="3" t="s">
        <x:v>303</x:v>
      </x:c>
      <x:c r="B2" s="3"/>
      <x:c r="C2" s="3"/>
      <x:c r="D2" s="3"/>
      <x:c r="E2" s="3"/>
      <x:c r="F2" s="3"/>
      <x:c r="G2" s="3"/>
      <x:c r="H2" s="3"/>
      <x:c r="I2" s="3"/>
    </x:row>
    <x:row r="4" ht="54" hidden="0" customHeight="1">
      <x:c r="A4" s="10" t="s">
        <x:v>304</x:v>
      </x:c>
      <x:c r="B4" s="10" t="s">
        <x:v>183</x:v>
      </x:c>
      <x:c r="C4" s="10" t="s">
        <x:v>305</x:v>
      </x:c>
      <x:c r="D4" s="10" t="s">
        <x:v>306</x:v>
      </x:c>
      <x:c r="E4" s="10" t="s">
        <x:v>307</x:v>
      </x:c>
      <x:c r="F4" s="10" t="s">
        <x:v>308</x:v>
      </x:c>
      <x:c r="G4" s="10" t="s">
        <x:v>309</x:v>
      </x:c>
      <x:c r="H4" s="10" t="s">
        <x:v>310</x:v>
      </x:c>
      <x:c r="I4" s="10" t="s">
        <x:v>311</x:v>
      </x:c>
    </x:row>
    <x:row r="5" ht="27.75" hidden="0" customHeight="1">
      <x:c r="A5" s="6" t="s">
        <x:v>312</x:v>
      </x:c>
      <x:c r="B5" s="6" t="s">
        <x:v>28</x:v>
      </x:c>
      <x:c r="C5" s="11" t="s">
        <x:v>313</x:v>
      </x:c>
      <x:c r="D5" s="55" t="n">
        <x:v>80</x:v>
      </x:c>
      <x:c r="E5" s="56" t="n">
        <x:v>1400101288</x:v>
      </x:c>
      <x:c r="F5" s="57" t="n">
        <x:v>100.917</x:v>
      </x:c>
      <x:c r="G5" s="22" t="n">
        <x:f aca="0">ROUND(Calculadora!$C$11/F5,4)</x:f>
        <x:v>1.4414</x:v>
      </x:c>
      <x:c r="H5" s="41" t="n">
        <x:f aca="0">E5*G5</x:f>
        <x:v>2018105996.5232</x:v>
      </x:c>
      <x:c r="I5" s="13" t="s">
        <x:v>314</x:v>
      </x:c>
    </x:row>
    <x:row r="6" ht="27.75" hidden="0" customHeight="1">
      <x:c r="A6" s="6" t="s">
        <x:v>312</x:v>
      </x:c>
      <x:c r="B6" s="6" t="s">
        <x:v>28</x:v>
      </x:c>
      <x:c r="C6" s="11" t="s">
        <x:v>315</x:v>
      </x:c>
      <x:c r="D6" s="55" t="n">
        <x:v>40</x:v>
      </x:c>
      <x:c r="E6" s="56" t="n">
        <x:v>700000000</x:v>
      </x:c>
      <x:c r="F6" s="57" t="n">
        <x:v>100.917</x:v>
      </x:c>
      <x:c r="G6" s="22" t="n">
        <x:f aca="0">ROUND(Calculadora!$C$11/F6,4)</x:f>
        <x:v>1.4414</x:v>
      </x:c>
      <x:c r="H6" s="41" t="n">
        <x:f aca="0">E6*G6</x:f>
        <x:v>1008980000</x:v>
      </x:c>
      <x:c r="I6" s="13" t="s">
        <x:v>316</x:v>
      </x:c>
    </x:row>
    <x:row r="7" ht="27.75" hidden="0" customHeight="1">
      <x:c r="A7" s="6" t="s">
        <x:v>317</x:v>
      </x:c>
      <x:c r="B7" s="6" t="s">
        <x:v>28</x:v>
      </x:c>
      <x:c r="C7" s="11" t="s">
        <x:v>318</x:v>
      </x:c>
      <x:c r="D7" s="55" t="n">
        <x:v>14.3019036414361</x:v>
      </x:c>
      <x:c r="E7" s="56" t="n">
        <x:v>270000000</x:v>
      </x:c>
      <x:c r="F7" s="57" t="n">
        <x:v>115.561</x:v>
      </x:c>
      <x:c r="G7" s="22" t="n">
        <x:f aca="0">ROUND(Calculadora!$C$11/F7,4)</x:f>
        <x:v>1.2587</x:v>
      </x:c>
      <x:c r="H7" s="41" t="n">
        <x:f aca="0">E7*G7</x:f>
        <x:v>339849000</x:v>
      </x:c>
      <x:c r="I7" s="13" t="s">
        <x:v>319</x:v>
      </x:c>
    </x:row>
    <x:row r="8" ht="27.75" hidden="0" customHeight="1">
      <x:c r="A8" s="6" t="s">
        <x:v>317</x:v>
      </x:c>
      <x:c r="B8" s="6" t="s">
        <x:v>27</x:v>
      </x:c>
      <x:c r="C8" s="11" t="s">
        <x:v>320</x:v>
      </x:c>
      <x:c r="D8" s="55" t="n">
        <x:v>2.94252630884681</x:v>
      </x:c>
      <x:c r="E8" s="56" t="n">
        <x:v>374000000</x:v>
      </x:c>
      <x:c r="F8" s="57" t="n">
        <x:v>115.561</x:v>
      </x:c>
      <x:c r="G8" s="22" t="n">
        <x:f aca="0">ROUND(Calculadora!$C$11/F8,4)</x:f>
        <x:v>1.2587</x:v>
      </x:c>
      <x:c r="H8" s="41" t="n">
        <x:f aca="0">E8*G8</x:f>
        <x:v>470753800</x:v>
      </x:c>
      <x:c r="I8" s="13" t="s">
        <x:v>321</x:v>
      </x:c>
    </x:row>
    <x:row r="9" ht="27.75" hidden="0" customHeight="1">
      <x:c r="A9" s="6" t="s">
        <x:v>317</x:v>
      </x:c>
      <x:c r="B9" s="6" t="s">
        <x:v>27</x:v>
      </x:c>
      <x:c r="C9" s="11" t="s">
        <x:v>322</x:v>
      </x:c>
      <x:c r="D9" s="55" t="n">
        <x:v>5.56941648833928</x:v>
      </x:c>
      <x:c r="E9" s="56" t="n">
        <x:v>706852000</x:v>
      </x:c>
      <x:c r="F9" s="57" t="n">
        <x:v>115.561</x:v>
      </x:c>
      <x:c r="G9" s="22" t="n">
        <x:f aca="0">ROUND(Calculadora!$C$11/F9,4)</x:f>
        <x:v>1.2587</x:v>
      </x:c>
      <x:c r="H9" s="41" t="n">
        <x:f aca="0">E9*G9</x:f>
        <x:v>889714612.4</x:v>
      </x:c>
      <x:c r="I9" s="13" t="s">
        <x:v>323</x:v>
      </x:c>
    </x:row>
    <x:row r="11" ht="19.5" hidden="0" customHeight="1">
      <x:c r="A11" s="9" t="s">
        <x:v>324</x:v>
      </x:c>
      <x:c r="B11" s="9"/>
      <x:c r="C11" s="9"/>
      <x:c r="D11" s="9"/>
      <x:c r="E11" s="9"/>
      <x:c r="F11" s="9"/>
      <x:c r="G11" s="9"/>
      <x:c r="H11" s="9"/>
      <x:c r="I11" s="9"/>
    </x:row>
    <x:row r="12" ht="15" hidden="0">
      <x:c r="A12" s="11" t="s">
        <x:v>325</x:v>
      </x:c>
      <x:c r="B12" s="11"/>
      <x:c r="C12" s="11"/>
      <x:c r="D12" s="47" t="n">
        <x:v>119530753</x:v>
      </x:c>
    </x:row>
    <x:row r="13" ht="15" hidden="0">
      <x:c r="A13" s="11" t="s">
        <x:v>326</x:v>
      </x:c>
      <x:c r="B13" s="11"/>
      <x:c r="C13" s="11"/>
      <x:c r="D13" s="46" t="n">
        <x:f aca="0">SUMIF($B$5:$B$9,"2.5 GHz",$H$5:$H$9)/SUMIF($B$5:$B$9,"2.5 GHz",$D$5:$D$9)/$D$12</x:f>
        <x:v>0.2097359646372044</x:v>
      </x:c>
      <x:c r="E13" s="58" t="s">
        <x:v>327</x:v>
      </x:c>
      <x:c r="F13" s="58"/>
      <x:c r="G13" s="58"/>
      <x:c r="H13" s="58"/>
      <x:c r="I13" s="58"/>
    </x:row>
    <x:row r="14" ht="15" hidden="0">
      <x:c r="A14" s="11" t="s">
        <x:v>328</x:v>
      </x:c>
      <x:c r="B14" s="11"/>
      <x:c r="C14" s="11"/>
      <x:c r="D14" s="46" t="n">
        <x:f aca="0">SUMIF($B$5:$B$9,"800 MHz",$H$5:$H$9)/SUMIF($B$5:$B$9,"800 MHz",$D$5:$D$9)/$D$12</x:f>
        <x:v>1.3371499453745488</x:v>
      </x:c>
      <x:c r="E14" s="58" t="s">
        <x:v>329</x:v>
      </x:c>
      <x:c r="F14" s="58"/>
      <x:c r="G14" s="58"/>
      <x:c r="H14" s="58"/>
      <x:c r="I14" s="58"/>
    </x:row>
    <x:row r="15" ht="15" hidden="0">
      <x:c r="A15" s="58" t="s">
        <x:v>330</x:v>
      </x:c>
      <x:c r="B15" s="58"/>
      <x:c r="C15" s="58"/>
      <x:c r="D15" s="58"/>
      <x:c r="E15" s="58"/>
      <x:c r="F15" s="58"/>
      <x:c r="G15" s="58"/>
      <x:c r="H15" s="58"/>
      <x:c r="I15" s="58"/>
    </x:row>
  </x:sheetData>
  <x:mergeCells>
    <x:mergeCell ref="A1:I1"/>
    <x:mergeCell ref="A2:I2"/>
    <x:mergeCell ref="A11:H11"/>
    <x:mergeCell ref="A12:C12"/>
    <x:mergeCell ref="A13:C13"/>
    <x:mergeCell ref="E13:I13"/>
    <x:mergeCell ref="A14:C14"/>
    <x:mergeCell ref="E14:I14"/>
    <x:mergeCell ref="A15:I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8.6796875" defaultRowHeight="15"/>
  <x:cols>
    <x:col min="1" max="1" width="10" style="1" hidden="0" customWidth="1"/>
    <x:col min="2" max="2" width="46" style="1" hidden="0" customWidth="1"/>
    <x:col min="3" max="3" width="42" style="1" hidden="0" customWidth="1"/>
    <x:col min="4" max="5" width="20" style="1" hidden="0" customWidth="1"/>
    <x:col min="6" max="6" width="18" style="1" hidden="0" customWidth="1"/>
    <x:col min="7" max="7" width="14" style="1" hidden="0" customWidth="1"/>
    <x:col min="8" max="8" width="16" style="1" hidden="0" customWidth="1"/>
    <x:col min="9" max="9" width="70" style="1" hidden="0" customWidth="1"/>
  </x:cols>
  <x:sheetData>
    <x:row r="1" ht="24" hidden="0" customHeight="1">
      <x:c r="A1" s="2" t="s">
        <x:v>331</x:v>
      </x:c>
      <x:c r="B1" s="2"/>
      <x:c r="C1" s="2"/>
      <x:c r="D1" s="2"/>
      <x:c r="E1" s="2"/>
      <x:c r="F1" s="2"/>
      <x:c r="G1" s="2"/>
      <x:c r="H1" s="2"/>
      <x:c r="I1" s="2"/>
    </x:row>
    <x:row r="2" ht="30" hidden="0" customHeight="1">
      <x:c r="A2" s="3" t="str">
        <x:v>Conciliación histórica contra VMR_5G_2026.xlsx, con entradas VMR por defecto. Se conservan las diferencias documentadas del archivo anterior. Las cuotas base se verificaron contra el cuadro nuevo; los descuentos se prueban en el módulo Descuentos.</x:v>
      </x:c>
      <x:c r="B2" s="3"/>
      <x:c r="C2" s="3"/>
      <x:c r="D2" s="3"/>
      <x:c r="E2" s="3"/>
      <x:c r="F2" s="3"/>
      <x:c r="G2" s="3"/>
      <x:c r="H2" s="3"/>
      <x:c r="I2" s="3"/>
    </x:row>
    <x:row r="3" ht="15" hidden="0">
      <x:c r="B3" s="59" t="s">
        <x:v>332</x:v>
      </x:c>
      <x:c r="C3" s="60" t="n">
        <x:v>1E-005</x:v>
      </x:c>
    </x:row>
    <x:row r="5" ht="30" hidden="0" customHeight="1">
      <x:c r="A5" s="10" t="s">
        <x:v>183</x:v>
      </x:c>
      <x:c r="B5" s="10" t="s">
        <x:v>85</x:v>
      </x:c>
      <x:c r="C5" s="10" t="s">
        <x:v>333</x:v>
      </x:c>
      <x:c r="D5" s="10" t="s">
        <x:v>334</x:v>
      </x:c>
      <x:c r="E5" s="10" t="s">
        <x:v>335</x:v>
      </x:c>
      <x:c r="F5" s="10" t="s">
        <x:v>179</x:v>
      </x:c>
      <x:c r="G5" s="10" t="s">
        <x:v>336</x:v>
      </x:c>
      <x:c r="H5" s="10" t="s">
        <x:v>337</x:v>
      </x:c>
      <x:c r="I5" s="10" t="s">
        <x:v>338</x:v>
      </x:c>
    </x:row>
    <x:row r="6" ht="15" hidden="0">
      <x:c r="A6" s="6" t="s">
        <x:v>26</x:v>
      </x:c>
      <x:c r="B6" s="11" t="s">
        <x:v>339</x:v>
      </x:c>
      <x:c r="C6" s="61" t="s">
        <x:v>340</x:v>
      </x:c>
      <x:c r="D6" s="62" t="n">
        <x:v>3.38607951250017</x:v>
      </x:c>
      <x:c r="E6" s="24" t="n">
        <x:f aca="0">Calculadora!C22</x:f>
        <x:v>3.3860795125001686</x:v>
      </x:c>
      <x:c r="F6" s="63" t="n">
        <x:f aca="0">E6-D6</x:f>
        <x:v>-1.3322676295501878e-15</x:v>
      </x:c>
      <x:c r="G6" s="64" t="n">
        <x:f aca="0">IF(D6=0,0,F6/D6)</x:f>
        <x:v>-3.9345432516629984e-16</x:v>
      </x:c>
      <x:c r="H6" s="6" t="str">
        <x:f aca="0">IF(ABS(G6)&lt;=$C$3,"Coincide","Difiere")</x:f>
        <x:v>Coincide</x:v>
      </x:c>
      <x:c r="I6" s="13"/>
    </x:row>
    <x:row r="7" ht="15" hidden="0">
      <x:c r="A7" s="6" t="s">
        <x:v>26</x:v>
      </x:c>
      <x:c r="B7" s="11" t="s">
        <x:v>341</x:v>
      </x:c>
      <x:c r="C7" s="61" t="s">
        <x:v>342</x:v>
      </x:c>
      <x:c r="D7" s="62" t="n">
        <x:v>1.92640088674619</x:v>
      </x:c>
      <x:c r="E7" s="24" t="n">
        <x:f aca="0">Calculadora!C24</x:f>
        <x:v>1.926400886746191</x:v>
      </x:c>
      <x:c r="F7" s="63" t="n">
        <x:f aca="0">E7-D7</x:f>
        <x:v>1.1102230246251565e-15</x:v>
      </x:c>
      <x:c r="G7" s="64" t="n">
        <x:f aca="0">IF(D7=0,0,F7/D7)</x:f>
        <x:v>5.763198263993699e-16</x:v>
      </x:c>
      <x:c r="H7" s="6" t="str">
        <x:f aca="0">IF(ABS(G7)&lt;=$C$3,"Coincide","Difiere")</x:f>
        <x:v>Coincide</x:v>
      </x:c>
      <x:c r="I7" s="13"/>
    </x:row>
    <x:row r="8" ht="15" hidden="0">
      <x:c r="A8" s="6" t="s">
        <x:v>26</x:v>
      </x:c>
      <x:c r="B8" s="11" t="s">
        <x:v>343</x:v>
      </x:c>
      <x:c r="C8" s="61" t="s">
        <x:v>344</x:v>
      </x:c>
      <x:c r="D8" s="62" t="n">
        <x:v>1.45967862575398</x:v>
      </x:c>
      <x:c r="E8" s="24" t="n">
        <x:f aca="0">Calculadora!C25</x:f>
        <x:v>1.4596786257539776</x:v>
      </x:c>
      <x:c r="F8" s="63" t="n">
        <x:f aca="0">E8-D8</x:f>
        <x:v>-2.4424906541753444e-15</x:v>
      </x:c>
      <x:c r="G8" s="64" t="n">
        <x:f aca="0">IF(D8=0,0,F8/D8)</x:f>
        <x:v>-1.6733071315021169e-15</x:v>
      </x:c>
      <x:c r="H8" s="6" t="str">
        <x:f aca="0">IF(ABS(G8)&lt;=$C$3,"Coincide","Difiere")</x:f>
        <x:v>Coincide</x:v>
      </x:c>
      <x:c r="I8" s="13"/>
    </x:row>
    <x:row r="9" ht="15" hidden="0">
      <x:c r="A9" s="6" t="s">
        <x:v>26</x:v>
      </x:c>
      <x:c r="B9" s="11" t="s">
        <x:v>345</x:v>
      </x:c>
      <x:c r="C9" s="61" t="s">
        <x:v>346</x:v>
      </x:c>
      <x:c r="D9" s="62" t="n">
        <x:v>1.48843429468133</x:v>
      </x:c>
      <x:c r="E9" s="24" t="n">
        <x:f aca="0">Calculadora!C29</x:f>
        <x:v>1.488434294681331</x:v>
      </x:c>
      <x:c r="F9" s="63" t="n">
        <x:f aca="0">E9-D9</x:f>
        <x:v>8.881784197001252e-16</x:v>
      </x:c>
      <x:c r="G9" s="64" t="n">
        <x:f aca="0">IF(D9=0,0,F9/D9)</x:f>
        <x:v>5.967199377721151e-16</x:v>
      </x:c>
      <x:c r="H9" s="6" t="str">
        <x:f aca="0">IF(ABS(G9)&lt;=$C$3,"Coincide","Difiere")</x:f>
        <x:v>Coincide</x:v>
      </x:c>
      <x:c r="I9" s="13"/>
    </x:row>
    <x:row r="10" ht="15" hidden="0">
      <x:c r="A10" s="6" t="s">
        <x:v>26</x:v>
      </x:c>
      <x:c r="B10" s="11" t="s">
        <x:v>347</x:v>
      </x:c>
      <x:c r="C10" s="61" t="s">
        <x:v>348</x:v>
      </x:c>
      <x:c r="D10" s="56" t="n">
        <x:v>5822459759.6197</x:v>
      </x:c>
      <x:c r="E10" s="21" t="n">
        <x:f aca="0">Calculadora!C35</x:f>
        <x:v>5822459759.619701</x:v>
      </x:c>
      <x:c r="F10" s="63" t="n">
        <x:f aca="0">E10-D10</x:f>
        <x:v>9.5367431640625e-7</x:v>
      </x:c>
      <x:c r="G10" s="64" t="n">
        <x:f aca="0">IF(D10=0,0,F10/D10)</x:f>
        <x:v>1.637923413434703e-16</x:v>
      </x:c>
      <x:c r="H10" s="6" t="str">
        <x:f aca="0">IF(ABS(G10)&lt;=$C$3,"Coincide","Difiere")</x:f>
        <x:v>Coincide</x:v>
      </x:c>
      <x:c r="I10" s="13"/>
    </x:row>
    <x:row r="11" ht="15" hidden="0">
      <x:c r="A11" s="6" t="s">
        <x:v>26</x:v>
      </x:c>
      <x:c r="B11" s="11" t="s">
        <x:v>349</x:v>
      </x:c>
      <x:c r="C11" s="61" t="s">
        <x:v>350</x:v>
      </x:c>
      <x:c r="D11" s="56" t="n">
        <x:v>809913000</x:v>
      </x:c>
      <x:c r="E11" s="21" t="n">
        <x:f aca="0">Calculadora!C36</x:f>
        <x:v>809913000</x:v>
      </x:c>
      <x:c r="F11" s="63" t="n">
        <x:f aca="0">E11-D11</x:f>
        <x:v>0</x:v>
      </x:c>
      <x:c r="G11" s="64" t="n">
        <x:f aca="0">IF(D11=0,0,F11/D11)</x:f>
        <x:v>0</x:v>
      </x:c>
      <x:c r="H11" s="6" t="str">
        <x:f aca="0">IF(ABS(G11)&lt;=$C$3,"Coincide","Difiere")</x:f>
        <x:v>Coincide</x:v>
      </x:c>
      <x:c r="I11" s="13"/>
    </x:row>
    <x:row r="12" ht="15" hidden="0">
      <x:c r="A12" s="6" t="s">
        <x:v>26</x:v>
      </x:c>
      <x:c r="B12" s="11" t="s">
        <x:v>351</x:v>
      </x:c>
      <x:c r="C12" s="61" t="s">
        <x:v>352</x:v>
      </x:c>
      <x:c r="D12" s="56" t="n">
        <x:v>7535698205.86323</x:v>
      </x:c>
      <x:c r="E12" s="21" t="n">
        <x:f aca="0">Calculadora!C37</x:f>
        <x:v>7535698205.86323</x:v>
      </x:c>
      <x:c r="F12" s="63" t="n">
        <x:f aca="0">E12-D12</x:f>
        <x:v>0</x:v>
      </x:c>
      <x:c r="G12" s="64" t="n">
        <x:f aca="0">IF(D12=0,0,F12/D12)</x:f>
        <x:v>0</x:v>
      </x:c>
      <x:c r="H12" s="6" t="str">
        <x:f aca="0">IF(ABS(G12)&lt;=$C$3,"Coincide","Difiere")</x:f>
        <x:v>Coincide</x:v>
      </x:c>
      <x:c r="I12" s="13"/>
    </x:row>
    <x:row r="13" ht="15" hidden="0">
      <x:c r="A13" s="6" t="s">
        <x:v>26</x:v>
      </x:c>
      <x:c r="B13" s="11" t="s">
        <x:v>353</x:v>
      </x:c>
      <x:c r="C13" s="61" t="s">
        <x:v>354</x:v>
      </x:c>
      <x:c r="D13" s="56" t="n">
        <x:v>1940819919.87323</x:v>
      </x:c>
      <x:c r="E13" s="21" t="n">
        <x:f aca="0">IF(Calculadora!C15=0,0,Calculadora!C35*10/Calculadora!C15)</x:f>
        <x:v>1940819919.8732338</x:v>
      </x:c>
      <x:c r="F13" s="63" t="n">
        <x:f aca="0">E13-D13</x:f>
        <x:v>0.000003814697265625</x:v>
      </x:c>
      <x:c r="G13" s="64" t="n">
        <x:f aca="0">IF(D13=0,0,F13/D13)</x:f>
        <x:v>1.9655080961216472e-15</x:v>
      </x:c>
      <x:c r="H13" s="6" t="str">
        <x:f aca="0">IF(ABS(G13)&lt;=$C$3,"Coincide","Difiere")</x:f>
        <x:v>Coincide</x:v>
      </x:c>
      <x:c r="I13" s="13"/>
    </x:row>
    <x:row r="14" ht="39.75" hidden="0" customHeight="1">
      <x:c r="A14" s="6" t="s">
        <x:v>26</x:v>
      </x:c>
      <x:c r="B14" s="11" t="s">
        <x:v>355</x:v>
      </x:c>
      <x:c r="C14" s="61" t="s">
        <x:v>356</x:v>
      </x:c>
      <x:c r="D14" s="56" t="n">
        <x:v>540876600</x:v>
      </x:c>
      <x:c r="E14" s="21" t="n">
        <x:f aca="0">IF(Calculadora!C15=0,0,Calculadora!C36*10/Calculadora!C15)</x:f>
        <x:v>269971000</x:v>
      </x:c>
      <x:c r="F14" s="63" t="n">
        <x:f aca="0">E14-D14</x:f>
        <x:v>-270905600</x:v>
      </x:c>
      <x:c r="G14" s="64" t="n">
        <x:f aca="0">IF(D14=0,0,F14/D14)</x:f>
        <x:v>-0.5008639678625402</x:v>
      </x:c>
      <x:c r="H14" s="6" t="str">
        <x:f aca="0">IF(ABS(G14)&lt;=$C$3,"Coincide","Difiere")</x:f>
        <x:v>Difiere</x:v>
      </x:c>
      <x:c r="I14" s="13" t="s">
        <x:v>357</x:v>
      </x:c>
    </x:row>
    <x:row r="15" ht="39.75" hidden="0" customHeight="1">
      <x:c r="A15" s="6" t="s">
        <x:v>26</x:v>
      </x:c>
      <x:c r="B15" s="11" t="s">
        <x:v>358</x:v>
      </x:c>
      <x:c r="C15" s="61" t="s">
        <x:v>359</x:v>
      </x:c>
      <x:c r="D15" s="56" t="n">
        <x:v>5032494631.16829</x:v>
      </x:c>
      <x:c r="E15" s="21" t="n">
        <x:f aca="0">IF(Calculadora!C15=0,0,Calculadora!C37*10/Calculadora!C15)</x:f>
        <x:v>2511899401.9544096</x:v>
      </x:c>
      <x:c r="F15" s="63" t="n">
        <x:f aca="0">E15-D15</x:f>
        <x:v>-2520595229.2138805</x:v>
      </x:c>
      <x:c r="G15" s="64" t="n">
        <x:f aca="0">IF(D15=0,0,F15/D15)</x:f>
        <x:v>-0.5008639678625402</x:v>
      </x:c>
      <x:c r="H15" s="6" t="str">
        <x:f aca="0">IF(ABS(G15)&lt;=$C$3,"Coincide","Difiere")</x:f>
        <x:v>Difiere</x:v>
      </x:c>
      <x:c r="I15" s="13" t="s">
        <x:v>360</x:v>
      </x:c>
    </x:row>
    <x:row r="16" ht="15" hidden="0">
      <x:c r="A16" s="6" t="s">
        <x:v>27</x:v>
      </x:c>
      <x:c r="B16" s="11" t="s">
        <x:v>339</x:v>
      </x:c>
      <x:c r="C16" s="61" t="s">
        <x:v>361</x:v>
      </x:c>
      <x:c r="D16" s="62" t="n">
        <x:v>4.58409619376133</x:v>
      </x:c>
      <x:c r="E16" s="24" t="n">
        <x:f aca="0">Calculadora!D22</x:f>
        <x:v>4.584096193761334</x:v>
      </x:c>
      <x:c r="F16" s="63" t="n">
        <x:f aca="0">E16-D16</x:f>
        <x:v>3.552713678800501e-15</x:v>
      </x:c>
      <x:c r="G16" s="64" t="n">
        <x:f aca="0">IF(D16=0,0,F16/D16)</x:f>
        <x:v>7.750085357361225e-16</x:v>
      </x:c>
      <x:c r="H16" s="6" t="str">
        <x:f aca="0">IF(ABS(G16)&lt;=$C$3,"Coincide","Difiere")</x:f>
        <x:v>Coincide</x:v>
      </x:c>
      <x:c r="I16" s="13"/>
    </x:row>
    <x:row r="17" ht="15" hidden="0">
      <x:c r="A17" s="6" t="s">
        <x:v>27</x:v>
      </x:c>
      <x:c r="B17" s="11" t="s">
        <x:v>341</x:v>
      </x:c>
      <x:c r="C17" s="61" t="s">
        <x:v>362</x:v>
      </x:c>
      <x:c r="D17" s="62" t="n">
        <x:v>3.85947069077888</x:v>
      </x:c>
      <x:c r="E17" s="24" t="n">
        <x:f aca="0">Calculadora!D24</x:f>
        <x:v>3.8594706907788785</x:v>
      </x:c>
      <x:c r="F17" s="63" t="n">
        <x:f aca="0">E17-D17</x:f>
        <x:v>-1.3322676295501878e-15</x:v>
      </x:c>
      <x:c r="G17" s="64" t="n">
        <x:f aca="0">IF(D17=0,0,F17/D17)</x:f>
        <x:v>-3.451943896693572e-16</x:v>
      </x:c>
      <x:c r="H17" s="6" t="str">
        <x:f aca="0">IF(ABS(G17)&lt;=$C$3,"Coincide","Difiere")</x:f>
        <x:v>Coincide</x:v>
      </x:c>
      <x:c r="I17" s="13"/>
    </x:row>
    <x:row r="18" ht="15" hidden="0">
      <x:c r="A18" s="6" t="s">
        <x:v>27</x:v>
      </x:c>
      <x:c r="B18" s="11" t="s">
        <x:v>343</x:v>
      </x:c>
      <x:c r="C18" s="61" t="s">
        <x:v>363</x:v>
      </x:c>
      <x:c r="D18" s="62" t="n">
        <x:v>0.724625502982455</x:v>
      </x:c>
      <x:c r="E18" s="24" t="n">
        <x:f aca="0">Calculadora!D25</x:f>
        <x:v>0.7246255029824553</x:v>
      </x:c>
      <x:c r="F18" s="63" t="n">
        <x:f aca="0">E18-D18</x:f>
        <x:v>3.3306690738754696e-16</x:v>
      </x:c>
      <x:c r="G18" s="64" t="n">
        <x:f aca="0">IF(D18=0,0,F18/D18)</x:f>
        <x:v>4.596400568523896e-16</x:v>
      </x:c>
      <x:c r="H18" s="6" t="str">
        <x:f aca="0">IF(ABS(G18)&lt;=$C$3,"Coincide","Difiere")</x:f>
        <x:v>Coincide</x:v>
      </x:c>
      <x:c r="I18" s="13"/>
    </x:row>
    <x:row r="19" ht="15" hidden="0">
      <x:c r="A19" s="6" t="s">
        <x:v>27</x:v>
      </x:c>
      <x:c r="B19" s="11" t="s">
        <x:v>345</x:v>
      </x:c>
      <x:c r="C19" s="61" t="s">
        <x:v>364</x:v>
      </x:c>
      <x:c r="D19" s="62" t="n">
        <x:v>0.738900625391209</x:v>
      </x:c>
      <x:c r="E19" s="24" t="n">
        <x:f aca="0">Calculadora!D29</x:f>
        <x:v>0.7389006253912097</x:v>
      </x:c>
      <x:c r="F19" s="63" t="n">
        <x:f aca="0">E19-D19</x:f>
        <x:v>6.661338147750939e-16</x:v>
      </x:c>
      <x:c r="G19" s="64" t="n">
        <x:f aca="0">IF(D19=0,0,F19/D19)</x:f>
        <x:v>9.015201664261837e-16</x:v>
      </x:c>
      <x:c r="H19" s="6" t="str">
        <x:f aca="0">IF(ABS(G19)&lt;=$C$3,"Coincide","Difiere")</x:f>
        <x:v>Coincide</x:v>
      </x:c>
      <x:c r="I19" s="13"/>
    </x:row>
    <x:row r="20" ht="15" hidden="0">
      <x:c r="A20" s="6" t="s">
        <x:v>27</x:v>
      </x:c>
      <x:c r="B20" s="11" t="s">
        <x:v>365</x:v>
      </x:c>
      <x:c r="C20" s="61" t="s">
        <x:v>366</x:v>
      </x:c>
      <x:c r="D20" s="62" t="n">
        <x:v>1.33714994537455</x:v>
      </x:c>
      <x:c r="E20" s="24" t="n">
        <x:f aca="0">Calculadora!D28</x:f>
        <x:v>1.3371499453745488</x:v>
      </x:c>
      <x:c r="F20" s="63" t="n">
        <x:f aca="0">E20-D20</x:f>
        <x:v>-1.1102230246251565e-15</x:v>
      </x:c>
      <x:c r="G20" s="64" t="n">
        <x:f aca="0">IF(D20=0,0,F20/D20)</x:f>
        <x:v>-8.30290595655053e-16</x:v>
      </x:c>
      <x:c r="H20" s="6" t="str">
        <x:f aca="0">IF(ABS(G20)&lt;=$C$3,"Coincide","Difiere")</x:f>
        <x:v>Coincide</x:v>
      </x:c>
      <x:c r="I20" s="13"/>
    </x:row>
    <x:row r="21" ht="39.75" hidden="0" customHeight="1">
      <x:c r="A21" s="6" t="s">
        <x:v>27</x:v>
      </x:c>
      <x:c r="B21" s="11" t="s">
        <x:v>367</x:v>
      </x:c>
      <x:c r="C21" s="61" t="s">
        <x:v>368</x:v>
      </x:c>
      <x:c r="D21" s="56" t="n">
        <x:v>1398616733.84822</x:v>
      </x:c>
      <x:c r="E21" s="21" t="n">
        <x:f aca="0">Calculadora!D35</x:f>
        <x:v>1398617016.4591348</x:v>
      </x:c>
      <x:c r="F21" s="63" t="n">
        <x:f aca="0">E21-D21</x:f>
        <x:v>282.61091470718384</x:v>
      </x:c>
      <x:c r="G21" s="64" t="n">
        <x:f aca="0">IF(D21=0,0,F21/D21)</x:f>
        <x:v>2.0206458843774508e-7</x:v>
      </x:c>
      <x:c r="H21" s="6" t="str">
        <x:f aca="0">IF(ABS(G21)&lt;=$C$3,"Coincide","Difiere")</x:f>
        <x:v>Coincide</x:v>
      </x:c>
      <x:c r="I21" s="13" t="s">
        <x:v>369</x:v>
      </x:c>
    </x:row>
    <x:row r="22" ht="39.75" hidden="0" customHeight="1">
      <x:c r="A22" s="6" t="s">
        <x:v>27</x:v>
      </x:c>
      <x:c r="B22" s="11" t="s">
        <x:v>370</x:v>
      </x:c>
      <x:c r="C22" s="61" t="s">
        <x:v>371</x:v>
      </x:c>
      <x:c r="D22" s="56" t="n">
        <x:v>783865425.860814</x:v>
      </x:c>
      <x:c r="E22" s="21" t="n">
        <x:f aca="0">Calculadora!D36</x:f>
        <x:v>785154987.1421198</x:v>
      </x:c>
      <x:c r="F22" s="63" t="n">
        <x:f aca="0">E22-D22</x:f>
        <x:v>1289561.28130579</x:v>
      </x:c>
      <x:c r="G22" s="64" t="n">
        <x:f aca="0">IF(D22=0,0,F22/D22)</x:f>
        <x:v>0.0016451309609549856</x:v>
      </x:c>
      <x:c r="H22" s="6" t="str">
        <x:f aca="0">IF(ABS(G22)&lt;=$C$3,"Coincide","Difiere")</x:f>
        <x:v>Difiere</x:v>
      </x:c>
      <x:c r="I22" s="13" t="s">
        <x:v>372</x:v>
      </x:c>
    </x:row>
    <x:row r="23" ht="39.75" hidden="0" customHeight="1">
      <x:c r="A23" s="6" t="s">
        <x:v>27</x:v>
      </x:c>
      <x:c r="B23" s="11" t="s">
        <x:v>373</x:v>
      </x:c>
      <x:c r="C23" s="61" t="s">
        <x:v>374</x:v>
      </x:c>
      <x:c r="D23" s="56" t="n">
        <x:v>7293342968.06885</x:v>
      </x:c>
      <x:c r="E23" s="21" t="n">
        <x:f aca="0">Calculadora!D37</x:f>
        <x:v>7305341472.394491</x:v>
      </x:c>
      <x:c r="F23" s="63" t="n">
        <x:f aca="0">E23-D23</x:f>
        <x:v>11998504.325641632</x:v>
      </x:c>
      <x:c r="G23" s="64" t="n">
        <x:f aca="0">IF(D23=0,0,F23/D23)</x:f>
        <x:v>0.0016451309609561153</x:v>
      </x:c>
      <x:c r="H23" s="6" t="str">
        <x:f aca="0">IF(ABS(G23)&lt;=$C$3,"Coincide","Difiere")</x:f>
        <x:v>Difiere</x:v>
      </x:c>
      <x:c r="I23" s="13" t="s">
        <x:v>375</x:v>
      </x:c>
    </x:row>
    <x:row r="24" ht="15" hidden="0">
      <x:c r="A24" s="6" t="s">
        <x:v>28</x:v>
      </x:c>
      <x:c r="B24" s="11" t="s">
        <x:v>339</x:v>
      </x:c>
      <x:c r="C24" s="61" t="s">
        <x:v>376</x:v>
      </x:c>
      <x:c r="D24" s="62" t="n">
        <x:v>0.806517052938472</x:v>
      </x:c>
      <x:c r="E24" s="24" t="n">
        <x:f aca="0">Calculadora!E22</x:f>
        <x:v>0.8065170529384724</x:v>
      </x:c>
      <x:c r="F24" s="63" t="n">
        <x:f aca="0">E24-D24</x:f>
        <x:v>4.440892098500626e-16</x:v>
      </x:c>
      <x:c r="G24" s="64" t="n">
        <x:f aca="0">IF(D24=0,0,F24/D24)</x:f>
        <x:v>5.506259393177909e-16</x:v>
      </x:c>
      <x:c r="H24" s="6" t="str">
        <x:f aca="0">IF(ABS(G24)&lt;=$C$3,"Coincide","Difiere")</x:f>
        <x:v>Coincide</x:v>
      </x:c>
      <x:c r="I24" s="13"/>
    </x:row>
    <x:row r="25" ht="15" hidden="0">
      <x:c r="A25" s="6" t="s">
        <x:v>28</x:v>
      </x:c>
      <x:c r="B25" s="11" t="s">
        <x:v>341</x:v>
      </x:c>
      <x:c r="C25" s="61" t="s">
        <x:v>377</x:v>
      </x:c>
      <x:c r="D25" s="62" t="n">
        <x:v>1.57961790140678</x:v>
      </x:c>
      <x:c r="E25" s="24" t="n">
        <x:f aca="0">Calculadora!E24</x:f>
        <x:v>1.5796179014067775</x:v>
      </x:c>
      <x:c r="F25" s="63" t="n">
        <x:f aca="0">E25-D25</x:f>
        <x:v>-2.4424906541753444e-15</x:v>
      </x:c>
      <x:c r="G25" s="64" t="n">
        <x:f aca="0">IF(D25=0,0,F25/D25)</x:f>
        <x:v>-1.5462540985387068e-15</x:v>
      </x:c>
      <x:c r="H25" s="6" t="str">
        <x:f aca="0">IF(ABS(G25)&lt;=$C$3,"Coincide","Difiere")</x:f>
        <x:v>Coincide</x:v>
      </x:c>
      <x:c r="I25" s="13"/>
    </x:row>
    <x:row r="26" ht="15" hidden="0">
      <x:c r="A26" s="6" t="s">
        <x:v>28</x:v>
      </x:c>
      <x:c r="B26" s="11" t="s">
        <x:v>343</x:v>
      </x:c>
      <x:c r="C26" s="61" t="s">
        <x:v>378</x:v>
      </x:c>
      <x:c r="D26" s="62" t="n">
        <x:v>-0.773100848468306</x:v>
      </x:c>
      <x:c r="E26" s="24" t="n">
        <x:f aca="0">Calculadora!E25</x:f>
        <x:v>-0.7731008484683051</x:v>
      </x:c>
      <x:c r="F26" s="63" t="n">
        <x:f aca="0">E26-D26</x:f>
        <x:v>8.881784197001252e-16</x:v>
      </x:c>
      <x:c r="G26" s="64" t="n">
        <x:f aca="0">IF(D26=0,0,F26/D26)</x:f>
        <x:v>-1.148851953092297e-15</x:v>
      </x:c>
      <x:c r="H26" s="6" t="str">
        <x:f aca="0">IF(ABS(G26)&lt;=$C$3,"Coincide","Difiere")</x:f>
        <x:v>Coincide</x:v>
      </x:c>
      <x:c r="I26" s="13"/>
    </x:row>
    <x:row r="27" ht="15" hidden="0">
      <x:c r="A27" s="6" t="s">
        <x:v>28</x:v>
      </x:c>
      <x:c r="B27" s="11" t="s">
        <x:v>379</x:v>
      </x:c>
      <x:c r="C27" s="61" t="s">
        <x:v>380</x:v>
      </x:c>
      <x:c r="D27" s="62" t="n">
        <x:v>-0.788330935183131</x:v>
      </x:c>
      <x:c r="E27" s="24" t="n">
        <x:f aca="0">Calculadora!E27</x:f>
        <x:v>-0.7883309351831307</x:v>
      </x:c>
      <x:c r="F27" s="63" t="n">
        <x:f aca="0">E27-D27</x:f>
        <x:v>3.3306690738754696e-16</x:v>
      </x:c>
      <x:c r="G27" s="64" t="n">
        <x:f aca="0">IF(D27=0,0,F27/D27)</x:f>
        <x:v>-4.224963051972263e-16</x:v>
      </x:c>
      <x:c r="H27" s="6" t="str">
        <x:f aca="0">IF(ABS(G27)&lt;=$C$3,"Coincide","Difiere")</x:f>
        <x:v>Coincide</x:v>
      </x:c>
      <x:c r="I27" s="13"/>
    </x:row>
    <x:row r="28" ht="15" hidden="0">
      <x:c r="A28" s="6" t="s">
        <x:v>28</x:v>
      </x:c>
      <x:c r="B28" s="11" t="s">
        <x:v>381</x:v>
      </x:c>
      <x:c r="C28" s="61" t="s">
        <x:v>382</x:v>
      </x:c>
      <x:c r="D28" s="62" t="n">
        <x:v>0.209735964637204</x:v>
      </x:c>
      <x:c r="E28" s="24" t="n">
        <x:f aca="0">Calculadora!E29</x:f>
        <x:v>0.2097359646372044</x:v>
      </x:c>
      <x:c r="F28" s="63" t="n">
        <x:f aca="0">E28-D28</x:f>
        <x:v>3.885780586188048e-16</x:v>
      </x:c>
      <x:c r="G28" s="64" t="n">
        <x:f aca="0">IF(D28=0,0,F28/D28)</x:f>
        <x:v>1.8527011296844455e-15</x:v>
      </x:c>
      <x:c r="H28" s="6" t="str">
        <x:f aca="0">IF(ABS(G28)&lt;=$C$3,"Coincide","Difiere")</x:f>
        <x:v>Coincide</x:v>
      </x:c>
      <x:c r="I28" s="13"/>
    </x:row>
    <x:row r="29" ht="15" hidden="0">
      <x:c r="A29" s="6" t="s">
        <x:v>28</x:v>
      </x:c>
      <x:c r="B29" s="11" t="s">
        <x:v>347</x:v>
      </x:c>
      <x:c r="C29" s="61" t="s">
        <x:v>383</x:v>
      </x:c>
      <x:c r="D29" s="56" t="n">
        <x:v>273481832.242292</x:v>
      </x:c>
      <x:c r="E29" s="21" t="n">
        <x:f aca="0">Calculadora!E35</x:f>
        <x:v>273481832.24229234</x:v>
      </x:c>
      <x:c r="F29" s="63" t="n">
        <x:f aca="0">E29-D29</x:f>
        <x:v>3.5762786865234375e-7</x:v>
      </x:c>
      <x:c r="G29" s="64" t="n">
        <x:f aca="0">IF(D29=0,0,F29/D29)</x:f>
        <x:v>1.3076841913780304e-15</x:v>
      </x:c>
      <x:c r="H29" s="6" t="str">
        <x:f aca="0">IF(ABS(G29)&lt;=$C$3,"Coincide","Difiere")</x:f>
        <x:v>Coincide</x:v>
      </x:c>
      <x:c r="I29" s="13"/>
    </x:row>
    <x:row r="30" ht="15" hidden="0">
      <x:c r="A30" s="6" t="s">
        <x:v>28</x:v>
      </x:c>
      <x:c r="B30" s="11" t="s">
        <x:v>349</x:v>
      </x:c>
      <x:c r="C30" s="61" t="s">
        <x:v>384</x:v>
      </x:c>
      <x:c r="D30" s="56" t="n">
        <x:v>221371900</x:v>
      </x:c>
      <x:c r="E30" s="21" t="n">
        <x:f aca="0">Calculadora!E36</x:f>
        <x:v>221371900</x:v>
      </x:c>
      <x:c r="F30" s="63" t="n">
        <x:f aca="0">E30-D30</x:f>
        <x:v>0</x:v>
      </x:c>
      <x:c r="G30" s="64" t="n">
        <x:f aca="0">IF(D30=0,0,F30/D30)</x:f>
        <x:v>0</x:v>
      </x:c>
      <x:c r="H30" s="6" t="str">
        <x:f aca="0">IF(ABS(G30)&lt;=$C$3,"Coincide","Difiere")</x:f>
        <x:v>Coincide</x:v>
      </x:c>
      <x:c r="I30" s="13"/>
    </x:row>
    <x:row r="31" ht="15" hidden="0">
      <x:c r="A31" s="6" t="s">
        <x:v>28</x:v>
      </x:c>
      <x:c r="B31" s="11" t="s">
        <x:v>351</x:v>
      </x:c>
      <x:c r="C31" s="61" t="s">
        <x:v>385</x:v>
      </x:c>
      <x:c r="D31" s="56" t="n">
        <x:v>2059717314.89498</x:v>
      </x:c>
      <x:c r="E31" s="21" t="n">
        <x:f aca="0">Calculadora!E37</x:f>
        <x:v>2059717314.8949757</x:v>
      </x:c>
      <x:c r="F31" s="63" t="n">
        <x:f aca="0">E31-D31</x:f>
        <x:v>-0.000004291534423828125</x:v>
      </x:c>
      <x:c r="G31" s="64" t="n">
        <x:f aca="0">IF(D31=0,0,F31/D31)</x:f>
        <x:v>-2.083555055246472e-15</x:v>
      </x:c>
      <x:c r="H31" s="6" t="str">
        <x:f aca="0">IF(ABS(G31)&lt;=$C$3,"Coincide","Difiere")</x:f>
        <x:v>Coincide</x:v>
      </x:c>
      <x:c r="I31" s="13"/>
    </x:row>
    <x:row r="33" ht="15" hidden="0">
      <x:c r="B33" s="59" t="s">
        <x:v>386</x:v>
      </x:c>
      <x:c r="C33" s="25" t="str">
        <x:f aca="0">COUNTIF(H6:H31,"Coincide")&amp;" de "&amp;ROWS(H6:H31)&amp;" variables coinciden; las demás se explican en la columna Observación."</x:f>
        <x:v>22 de 26 variables coinciden; las demás se explican en la columna Observación.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03864"/>
  </x:sheetPr>
  <x:sheetViews>
    <x:sheetView showGridLines="0" workbookViewId="0"/>
  </x:sheetViews>
  <x:sheetFormatPr defaultRowHeight="15"/>
  <x:cols>
    <x:col min="1" max="1" width="2" hidden="0" customWidth="1"/>
    <x:col min="2" max="2" width="52" hidden="0" customWidth="1"/>
    <x:col min="3" max="3" width="25" hidden="0" customWidth="1"/>
    <x:col min="4" max="4" width="18" hidden="0" customWidth="1"/>
    <x:col min="5" max="5" width="18" hidden="0" customWidth="1"/>
    <x:col min="6" max="6" width="70" hidden="0" customWidth="1"/>
  </x:cols>
  <x:sheetData>
    <x:row r="1" ht="21" customHeight="1">
      <x:c r="B1" s="66"/>
      <x:c r="C1" s="66"/>
      <x:c r="D1" s="66"/>
      <x:c r="E1" s="66"/>
      <x:c r="F1" s="66"/>
    </x:row>
    <x:row r="2" ht="21" customHeight="1">
      <x:c r="B2" s="67" t="str">
        <x:v>Calculadora de descuentos y obligaciones</x:v>
      </x:c>
      <x:c r="C2" s="66"/>
      <x:c r="D2" s="66"/>
      <x:c r="E2" s="66"/>
      <x:c r="F2" s="66"/>
    </x:row>
    <x:row r="3" ht="21" customHeight="1">
      <x:c r="B3" s="66"/>
      <x:c r="C3" s="66"/>
      <x:c r="D3" s="66"/>
      <x:c r="E3" s="66"/>
      <x:c r="F3" s="66"/>
    </x:row>
    <x:row r="4" ht="21" customHeight="1">
      <x:c r="B4" s="66" t="str">
        <x:v>Operador / tipo</x:v>
      </x:c>
      <x:c r="C4" s="76" t="str">
        <x:v>Telcel</x:v>
      </x:c>
      <x:c r="D4" s="66"/>
      <x:c r="E4" s="66"/>
      <x:c r="F4" s="66" t="str">
        <x:v>Entradas amarillas: cambiar operador, modalidad y descuento.</x:v>
      </x:c>
    </x:row>
    <x:row r="5" ht="21" customHeight="1">
      <x:c r="B5" s="66" t="str">
        <x:v>Modalidad</x:v>
      </x:c>
      <x:c r="C5" s="76" t="str">
        <x:v>Cobertura</x:v>
      </x:c>
      <x:c r="D5" s="66"/>
      <x:c r="E5" s="66"/>
      <x:c r="F5" s="66" t="str">
        <x:v>Mixto 10/90 corresponde a Hoja1 del archivo recibido.</x:v>
      </x:c>
    </x:row>
    <x:row r="6" ht="21" customHeight="1">
      <x:c r="B6" s="66" t="str">
        <x:v>Descuento por obligaciones</x:v>
      </x:c>
      <x:c r="C6" s="80" t="n">
        <x:v>0.1</x:v>
      </x:c>
      <x:c r="D6" s="66"/>
      <x:c r="E6" s="66"/>
      <x:c r="F6" s="66" t="str">
        <x:v>Se aceptan niveles de 10% en 10%, hasta el tope de cada tipo.</x:v>
      </x:c>
    </x:row>
    <x:row r="7" ht="21" customHeight="1">
      <x:c r="B7" s="66" t="str">
        <x:v>Horizonte del descuento</x:v>
      </x:c>
      <x:c r="C7" s="66" t="n">
        <x:f>'Fuente descuentos'!C14</x:f>
        <x:v>10</x:v>
      </x:c>
      <x:c r="D7" s="66" t="str">
        <x:v>años</x:v>
      </x:c>
      <x:c r="E7" s="66"/>
      <x:c r="F7" s="66"/>
    </x:row>
    <x:row r="8" ht="21" customHeight="1">
      <x:c r="B8" s="66"/>
      <x:c r="C8" s="66"/>
      <x:c r="D8" s="66"/>
      <x:c r="E8" s="66"/>
      <x:c r="F8" s="66"/>
    </x:row>
    <x:row r="9" ht="24" customHeight="1">
      <x:c r="B9" s="74" t="str">
        <x:v>SALIDAS CLAVE DEL ESCENARIO</x:v>
      </x:c>
      <x:c r="C9" s="74"/>
      <x:c r="D9" s="74"/>
      <x:c r="E9" s="74"/>
      <x:c r="F9" s="74"/>
    </x:row>
    <x:row r="10" ht="21" customHeight="1">
      <x:c r="B10" s="66" t="str">
        <x:v>Estado del escenario</x:v>
      </x:c>
      <x:c r="C10" s="66" t="str">
        <x:f>C36</x:f>
        <x:v>Aplicable</x:v>
      </x:c>
      <x:c r="D10" s="66"/>
      <x:c r="E10" s="66"/>
      <x:c r="F10" s="66"/>
    </x:row>
    <x:row r="11" ht="21" customHeight="1">
      <x:c r="B11" s="83" t="str">
        <x:v>Descuento anual por obligaciones</x:v>
      </x:c>
      <x:c r="C11" s="86" t="n">
        <x:f>IF($C$36="Aplicable",C24*C6,"No aplica")</x:f>
        <x:v>817434426.776</x:v>
      </x:c>
      <x:c r="D11" s="66" t="str">
        <x:v>MXN/año</x:v>
      </x:c>
      <x:c r="E11" s="66"/>
      <x:c r="F11" s="66"/>
    </x:row>
    <x:row r="12" ht="21" customHeight="1">
      <x:c r="B12" s="83" t="str">
        <x:v>Descuento total en el horizonte</x:v>
      </x:c>
      <x:c r="C12" s="86" t="n">
        <x:f>IF($C$36="Aplicable",C11*C7,"No aplica")</x:f>
        <x:v>8174344267.76</x:v>
      </x:c>
      <x:c r="D12" s="66" t="str">
        <x:v>MXN</x:v>
      </x:c>
      <x:c r="E12" s="66"/>
      <x:c r="F12" s="66"/>
    </x:row>
    <x:row r="13" ht="21" customHeight="1">
      <x:c r="B13" s="83" t="str">
        <x:v>Radiobases de nueva cobertura</x:v>
      </x:c>
      <x:c r="C13" s="87" t="n">
        <x:f>IF($C$36="Aplicable",ROUNDUP(C34/C28,0),"No aplica")</x:f>
        <x:v>484</x:v>
      </x:c>
      <x:c r="D13" s="66" t="str">
        <x:v>radiobases</x:v>
      </x:c>
      <x:c r="E13" s="66"/>
      <x:c r="F13" s="66"/>
    </x:row>
    <x:row r="14" ht="21" customHeight="1">
      <x:c r="B14" s="83" t="str">
        <x:v>Localidades de nueva cobertura</x:v>
      </x:c>
      <x:c r="C14" s="87" t="n">
        <x:f>IF($C$36="Aplicable",C13*C31,"No aplica")</x:f>
        <x:v>1452</x:v>
      </x:c>
      <x:c r="D14" s="66" t="str">
        <x:v>localidades</x:v>
      </x:c>
      <x:c r="E14" s="66"/>
      <x:c r="F14" s="66"/>
    </x:row>
    <x:row r="15" ht="21" customHeight="1">
      <x:c r="B15" s="83" t="str">
        <x:v>Habitantes de nueva cobertura</x:v>
      </x:c>
      <x:c r="C15" s="87" t="n">
        <x:f>IF($C$36="Aplicable",C14*C32,"No aplica")</x:f>
        <x:v>310728</x:v>
      </x:c>
      <x:c r="D15" s="66" t="str">
        <x:v>hab</x:v>
      </x:c>
      <x:c r="E15" s="66"/>
      <x:c r="F15" s="66"/>
    </x:row>
    <x:row r="16" ht="21" customHeight="1">
      <x:c r="B16" s="83" t="str">
        <x:v>Radiobases por modernizar</x:v>
      </x:c>
      <x:c r="C16" s="87" t="n">
        <x:f>IF($C$36="Aplicable",ROUNDUP(C35/(C29*C30),0),"No aplica")</x:f>
        <x:v>0</x:v>
      </x:c>
      <x:c r="D16" s="66" t="str">
        <x:v>radiobases</x:v>
      </x:c>
      <x:c r="E16" s="66"/>
      <x:c r="F16" s="66"/>
    </x:row>
    <x:row r="17" ht="21" customHeight="1">
      <x:c r="B17" s="83" t="str">
        <x:v>Habitantes con modernización</x:v>
      </x:c>
      <x:c r="C17" s="87" t="n">
        <x:f>IF($C$36="Aplicable",C16*C33,"No aplica")</x:f>
        <x:v>0</x:v>
      </x:c>
      <x:c r="D17" s="66" t="str">
        <x:v>hab</x:v>
      </x:c>
      <x:c r="E17" s="66"/>
      <x:c r="F17" s="66"/>
    </x:row>
    <x:row r="18" ht="21" customHeight="1">
      <x:c r="B18" s="66"/>
      <x:c r="C18" s="66"/>
      <x:c r="D18" s="66"/>
      <x:c r="E18" s="66"/>
      <x:c r="F18" s="66"/>
    </x:row>
    <x:row r="19" ht="21" customHeight="1">
      <x:c r="B19" s="66" t="str">
        <x:v>Habitantes estimados por promedios del archivo; no representan personas únicas verificadas.</x:v>
      </x:c>
      <x:c r="C19" s="66"/>
      <x:c r="D19" s="66"/>
      <x:c r="E19" s="66"/>
      <x:c r="F19" s="66"/>
    </x:row>
    <x:row r="20" ht="21" customHeight="1">
      <x:c r="B20" s="66"/>
      <x:c r="C20" s="66"/>
      <x:c r="D20" s="66"/>
      <x:c r="E20" s="66"/>
      <x:c r="F20" s="66"/>
    </x:row>
    <x:row r="21" ht="24" customHeight="1">
      <x:c r="B21" s="74" t="str">
        <x:v>CÁLCULO Y PARÁMETROS ACTIVOS</x:v>
      </x:c>
      <x:c r="C21" s="74"/>
      <x:c r="D21" s="74"/>
      <x:c r="E21" s="74"/>
      <x:c r="F21" s="74"/>
    </x:row>
    <x:row r="22" ht="21" customHeight="1">
      <x:c r="B22" s="66" t="str">
        <x:v>Base anual antes de reducción general</x:v>
      </x:c>
      <x:c r="C22" s="81" t="n">
        <x:f>IF(C4="","",IF(OR(C4="Telcel",C4="AT&amp;T"),INDEX('Fuente descuentos'!$C$6:$C$10,MATCH(C4,'Fuente descuentos'!$B$6:$B$10,0)),AVERAGE(INDEX('Fuente descuentos'!$D$6:$D$10,MATCH(C4,'Fuente descuentos'!$B$6:$B$10,0)),INDEX('Fuente descuentos'!$E$6:$E$10,MATCH(C4,'Fuente descuentos'!$B$6:$B$10,0)))*'Fuente descuentos'!$C$21))</x:f>
        <x:v>9289027577</x:v>
      </x:c>
      <x:c r="D22" s="66"/>
      <x:c r="E22" s="66"/>
      <x:c r="F22" s="66" t="str">
        <x:v>A/B: derechos de referencia. C/D/E: promedio del rango × 20%.</x:v>
      </x:c>
    </x:row>
    <x:row r="23" ht="21" customHeight="1">
      <x:c r="B23" s="66" t="str">
        <x:v>Reducción general aplicada</x:v>
      </x:c>
      <x:c r="C23" s="79" t="n">
        <x:f>IF(OR(C4="Telcel",C4="AT&amp;T"),'Fuente descuentos'!C13,0)</x:f>
        <x:v>0.12</x:v>
      </x:c>
      <x:c r="D23" s="66"/>
      <x:c r="E23" s="66"/>
      <x:c r="F23" s="66" t="str">
        <x:v>El archivo aplica 12% a los totales de Telcel y AT&amp;T.</x:v>
      </x:c>
    </x:row>
    <x:row r="24" ht="21" customHeight="1">
      <x:c r="B24" s="66" t="str">
        <x:v>Base anual para descuento por obligaciones</x:v>
      </x:c>
      <x:c r="C24" s="81" t="n">
        <x:f>C22*(1-C23)</x:f>
        <x:v>8174344267.76</x:v>
      </x:c>
      <x:c r="D24" s="66"/>
      <x:c r="E24" s="66"/>
      <x:c r="F24" s="66" t="str">
        <x:v>Las bases por operador no equivalen al bloque VMR de una sola banda.</x:v>
      </x:c>
    </x:row>
    <x:row r="25" ht="21" customHeight="1">
      <x:c r="B25" s="66" t="str">
        <x:v>Tope de descuento del operador / tipo</x:v>
      </x:c>
      <x:c r="C25" s="79" t="n">
        <x:f>IF(C4="","",INDEX('Fuente descuentos'!$C$31:$C$35,MATCH(C4,'Fuente descuentos'!$B$31:$B$35,0)))</x:f>
        <x:v>0.5</x:v>
      </x:c>
      <x:c r="D25" s="66"/>
      <x:c r="E25" s="66"/>
      <x:c r="F25" s="66" t="str">
        <x:v>Derivado de los niveles disponibles en Cobertura y Hoja1.</x:v>
      </x:c>
    </x:row>
    <x:row r="26" ht="21" customHeight="1">
      <x:c r="B26" s="66" t="str">
        <x:v>Proporción destinada a cobertura</x:v>
      </x:c>
      <x:c r="C26" s="79" t="n">
        <x:f>IF(C5="","",INDEX('Fuente descuentos'!$C$24:$C$27,MATCH(C5,'Fuente descuentos'!$B$24:$B$27,0)))</x:f>
        <x:v>1</x:v>
      </x:c>
      <x:c r="D26" s="66"/>
      <x:c r="E26" s="66"/>
      <x:c r="F26" s="66" t="str">
        <x:v>Cobertura 100%, Modernización 0%, Híbrido 50%, Mixto 10%.</x:v>
      </x:c>
    </x:row>
    <x:row r="27" ht="21" customHeight="1">
      <x:c r="B27" s="66" t="str">
        <x:v>Proporción destinada a modernización</x:v>
      </x:c>
      <x:c r="C27" s="79" t="n">
        <x:f>IF(C5="","",INDEX('Fuente descuentos'!$D$24:$D$27,MATCH(C5,'Fuente descuentos'!$B$24:$B$27,0)))</x:f>
        <x:v>0</x:v>
      </x:c>
      <x:c r="D27" s="66"/>
      <x:c r="E27" s="66"/>
      <x:c r="F27" s="66" t="str">
        <x:v>Complemento de la proporción de cobertura.</x:v>
      </x:c>
    </x:row>
    <x:row r="28" ht="21" customHeight="1">
      <x:c r="B28" s="66" t="str">
        <x:v>Costo por radiobase de cobertura</x:v>
      </x:c>
      <x:c r="C28" s="81" t="n">
        <x:f>'Fuente descuentos'!C15</x:f>
        <x:v>16889342.82</x:v>
      </x:c>
      <x:c r="D28" s="66"/>
      <x:c r="E28" s="66"/>
      <x:c r="F28" s="66" t="str">
        <x:v>Costo unitario de despliegue del archivo recibido.</x:v>
      </x:c>
    </x:row>
    <x:row r="29" ht="21" customHeight="1">
      <x:c r="B29" s="66" t="str">
        <x:v>Costo de modernización por radiobase</x:v>
      </x:c>
      <x:c r="C29" s="81" t="n">
        <x:f>'Fuente descuentos'!C16</x:f>
        <x:v>2559930.77</x:v>
      </x:c>
      <x:c r="D29" s="66"/>
      <x:c r="E29" s="66"/>
      <x:c r="F29" s="66" t="str">
        <x:v>Costo unitario de modernización del archivo recibido.</x:v>
      </x:c>
    </x:row>
    <x:row r="30" ht="21" customHeight="1">
      <x:c r="B30" s="66" t="str">
        <x:v>Factor de modernización</x:v>
      </x:c>
      <x:c r="C30" s="79" t="n">
        <x:f>'Fuente descuentos'!C17</x:f>
        <x:v>1</x:v>
      </x:c>
      <x:c r="D30" s="66"/>
      <x:c r="E30" s="66"/>
      <x:c r="F30" s="66" t="str">
        <x:v>Se conserva el factor 100% del archivo recibido.</x:v>
      </x:c>
    </x:row>
    <x:row r="31" ht="21" customHeight="1">
      <x:c r="B31" s="66" t="str">
        <x:v>Localidades por radiobase de cobertura</x:v>
      </x:c>
      <x:c r="C31" s="66" t="n">
        <x:f>'Fuente descuentos'!C18</x:f>
        <x:v>3</x:v>
      </x:c>
      <x:c r="D31" s="66"/>
      <x:c r="E31" s="66"/>
      <x:c r="F31" s="66" t="str">
        <x:v>El archivo multiplica radiobases de cobertura por 3 localidades.</x:v>
      </x:c>
    </x:row>
    <x:row r="32" ht="21" customHeight="1">
      <x:c r="B32" s="66" t="str">
        <x:v>Habitantes por localidad</x:v>
      </x:c>
      <x:c r="C32" s="66" t="n">
        <x:f>'Fuente descuentos'!C19</x:f>
        <x:v>214</x:v>
      </x:c>
      <x:c r="D32" s="66"/>
      <x:c r="E32" s="66"/>
      <x:c r="F32" s="66" t="str">
        <x:v>Promedio recibido: 214 habitantes por localidad.</x:v>
      </x:c>
    </x:row>
    <x:row r="33" ht="21" customHeight="1">
      <x:c r="B33" s="66" t="str">
        <x:v>Habitantes por radiobase modernizada</x:v>
      </x:c>
      <x:c r="C33" s="66" t="n">
        <x:f>'Fuente descuentos'!C20</x:f>
        <x:v>4636</x:v>
      </x:c>
      <x:c r="D33" s="66"/>
      <x:c r="E33" s="66"/>
      <x:c r="F33" s="66" t="str">
        <x:v>Promedio recibido: 4,636 habitantes por radiobase.</x:v>
      </x:c>
    </x:row>
    <x:row r="34" ht="21" customHeight="1">
      <x:c r="B34" s="66" t="str">
        <x:v>Monto para obligaciones de cobertura</x:v>
      </x:c>
      <x:c r="C34" s="81" t="n">
        <x:f>C24*C6*C7*C26</x:f>
        <x:v>8174344267.76</x:v>
      </x:c>
      <x:c r="D34" s="66"/>
      <x:c r="E34" s="66"/>
      <x:c r="F34" s="66" t="str">
        <x:v>Base neta × descuento × años × proporción cobertura.</x:v>
      </x:c>
    </x:row>
    <x:row r="35" ht="21" customHeight="1">
      <x:c r="B35" s="66" t="str">
        <x:v>Monto para obligaciones de modernización</x:v>
      </x:c>
      <x:c r="C35" s="81" t="n">
        <x:f>C24*C6*C7*C27</x:f>
        <x:v>0</x:v>
      </x:c>
      <x:c r="D35" s="66"/>
      <x:c r="E35" s="66"/>
      <x:c r="F35" s="66" t="str">
        <x:v>Base neta × descuento × años × proporción modernización.</x:v>
      </x:c>
    </x:row>
    <x:row r="36" ht="21" customHeight="1">
      <x:c r="B36" s="66" t="str">
        <x:v>Estado del escenario</x:v>
      </x:c>
      <x:c r="C36" s="66" t="str">
        <x:f>IF(OR(ISBLANK(C4),ISBLANK(C5),ISBLANK(C6)),"Falta entrada",IF(OR(C6&lt;0.1,C6&gt;C25,ABS(C6*10-ROUND(C6*10,0))&gt;0.0000001),"Fuera del cuadro",IF(AND(OR(C5="Modernización",C5="Híbrido 50/50"),NOT(OR(C4="Telcel",C4="AT&amp;T"))),"Modalidad no disponible","Aplicable")))</x:f>
        <x:v>Aplicable</x:v>
      </x:c>
      <x:c r="D36" s="66"/>
      <x:c r="E36" s="66"/>
      <x:c r="F36" s="66" t="str">
        <x:v>C/D/E: Modernización e Híbrido 50/50 no se incluyen en esas hojas.</x:v>
      </x:c>
    </x:row>
    <x:row r="37" ht="21" customHeight="1">
      <x:c r="B37" s="66"/>
      <x:c r="C37" s="66"/>
      <x:c r="D37" s="66"/>
      <x:c r="E37" s="66"/>
      <x:c r="F37" s="66"/>
    </x:row>
    <x:row r="38" ht="21" customHeight="1">
      <x:c r="B38" s="66" t="str">
        <x:v>600/700 MHz: la nota del archivo excluye la reducción general del 12%.</x:v>
      </x:c>
      <x:c r="C38" s="66"/>
      <x:c r="D38" s="66"/>
      <x:c r="E38" s="66"/>
      <x:c r="F38" s="66"/>
    </x:row>
    <x:row r="39" ht="21" customHeight="1">
      <x:c r="B39" s="66" t="str">
        <x:v>La tabla derecha de Derechos reduce también esas bandas; en Calculadora prevalece la nota de exclusión.</x:v>
      </x:c>
      <x:c r="C39" s="66"/>
      <x:c r="D39" s="66"/>
      <x:c r="E39" s="66"/>
      <x:c r="F39" s="66"/>
    </x:row>
    <x:row r="40" ht="21" customHeight="1">
      <x:c r="B40" s="66" t="str">
        <x:v>Altán: el archivo sugiere excluirlo; no se incluye como operador elegible en este modelo.</x:v>
      </x:c>
      <x:c r="C40" s="66"/>
      <x:c r="D40" s="66"/>
      <x:c r="E40" s="66"/>
      <x:c r="F40" s="66"/>
    </x:row>
    <x:row r="41" ht="21" customHeight="1">
      <x:c r="B41" s="66" t="str">
        <x:v>La VMR conserva su metodología previa. Estos descuentos no se restan automáticamente de la VMR.</x:v>
      </x:c>
      <x:c r="C41" s="66"/>
      <x:c r="D41" s="66"/>
      <x:c r="E41" s="66"/>
      <x:c r="F41" s="66"/>
    </x:row>
    <x:row r="42" ht="21" customHeight="1">
      <x:c r="B42" s="66" t="str">
        <x:v>Los derechos e insumos nuevos están en Fuente descuentos; la conciliación VMR anterior se conserva.</x:v>
      </x:c>
      <x:c r="C42" s="66"/>
      <x:c r="D42" s="66"/>
      <x:c r="E42" s="66"/>
      <x:c r="F42" s="66"/>
    </x:row>
    <x:row r="43" ht="21" customHeight="1">
      <x:c r="B43" s="66" t="str">
        <x:v>Los totales de Telcel/AT&amp;T se usan como fueron recibidos; no se dispone de su desglose por banda.</x:v>
      </x:c>
      <x:c r="C43" s="66"/>
      <x:c r="D43" s="66"/>
      <x:c r="E43" s="66"/>
      <x:c r="F43" s="66"/>
    </x:row>
  </x:sheetData>
  <x:mergeCells>
    <x:mergeCell ref="B19:F19"/>
    <x:mergeCell ref="B38:F38"/>
    <x:mergeCell ref="B39:F39"/>
    <x:mergeCell ref="B40:F40"/>
    <x:mergeCell ref="B41:F41"/>
    <x:mergeCell ref="B42:F42"/>
    <x:mergeCell ref="B43:F43"/>
  </x:mergeCells>
  <x:conditionalFormatting sqref="C10:C10">
    <x:cfRule type="expression" dxfId="0" priority="1">
      <x:formula>C10&lt;&gt;"Aplicable"</x:formula>
    </x:cfRule>
  </x:conditionalFormatting>
  <x:dataValidations count="3">
    <x:dataValidation type="list" sqref="C4">
      <x:formula1>"Telcel,AT&amp;T,Operador C,Operador D,Operador E"</x:formula1>
    </x:dataValidation>
    <x:dataValidation type="list" sqref="C5">
      <x:formula1>"Cobertura,Modernización,Híbrido 50/50,Mixto 10/90"</x:formula1>
    </x:dataValidation>
    <x:dataValidation type="list" sqref="C6">
      <x:formula1>"0.1,0.2,0.3,0.4,0.5,0.6,0.7,0.8,0.9,1"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F8FA9"/>
  </x:sheetPr>
  <x:sheetViews>
    <x:sheetView showGridLines="0" workbookViewId="0"/>
  </x:sheetViews>
  <x:sheetFormatPr defaultRowHeight="15"/>
  <x:cols>
    <x:col min="1" max="1" width="2" hidden="0" customWidth="1"/>
    <x:col min="2" max="2" width="52" hidden="0" customWidth="1"/>
    <x:col min="3" max="3" width="25" hidden="0" customWidth="1"/>
    <x:col min="4" max="4" width="18" hidden="0" customWidth="1"/>
    <x:col min="5" max="5" width="18" hidden="0" customWidth="1"/>
    <x:col min="6" max="6" width="70" hidden="0" customWidth="1"/>
  </x:cols>
  <x:sheetData>
    <x:row r="1" ht="21" customHeight="1">
      <x:c r="B1" s="66"/>
      <x:c r="C1" s="66"/>
      <x:c r="D1" s="66"/>
      <x:c r="E1" s="66"/>
      <x:c r="F1" s="66"/>
    </x:row>
    <x:row r="2" ht="21" customHeight="1">
      <x:c r="B2" s="67" t="str">
        <x:v>Parámetros del cuadro de descuentos</x:v>
      </x:c>
      <x:c r="C2" s="66"/>
      <x:c r="D2" s="66"/>
      <x:c r="E2" s="66"/>
      <x:c r="F2" s="66"/>
    </x:row>
    <x:row r="3" ht="21" customHeight="1">
      <x:c r="B3" s="66" t="str">
        <x:v>Fuente: cuadro descuentos_15 oct(1).xlsx. Se indican hoja y celda de cada dato.</x:v>
      </x:c>
      <x:c r="C3" s="66"/>
      <x:c r="D3" s="66"/>
      <x:c r="E3" s="66"/>
      <x:c r="F3" s="66"/>
    </x:row>
    <x:row r="4" ht="21" customHeight="1">
      <x:c r="B4" s="66"/>
      <x:c r="C4" s="66"/>
      <x:c r="D4" s="66"/>
      <x:c r="E4" s="66"/>
      <x:c r="F4" s="66"/>
    </x:row>
    <x:row r="5" ht="32" customHeight="1">
      <x:c r="B5" s="70" t="str">
        <x:v>Operador / tipo</x:v>
      </x:c>
      <x:c r="C5" s="70" t="str">
        <x:v>Derechos (MXN/año)</x:v>
      </x:c>
      <x:c r="D5" s="70" t="str">
        <x:v>Mínimo (MXN/año)</x:v>
      </x:c>
      <x:c r="E5" s="70" t="str">
        <x:v>Máximo (MXN/año)</x:v>
      </x:c>
      <x:c r="F5" s="70" t="str">
        <x:v>Origen en el archivo recibido</x:v>
      </x:c>
    </x:row>
    <x:row r="6" ht="21" customHeight="1">
      <x:c r="B6" s="66" t="str">
        <x:v>Telcel</x:v>
      </x:c>
      <x:c r="C6" s="72" t="n">
        <x:v>9289027577</x:v>
      </x:c>
      <x:c r="D6" s="72"/>
      <x:c r="E6" s="72"/>
      <x:c r="F6" s="66" t="str">
        <x:v>Tipo A. Cobertura!D18</x:v>
      </x:c>
    </x:row>
    <x:row r="7" ht="21" customHeight="1">
      <x:c r="B7" s="66" t="str">
        <x:v>AT&amp;T</x:v>
      </x:c>
      <x:c r="C7" s="72" t="n">
        <x:v>7896490527</x:v>
      </x:c>
      <x:c r="D7" s="72"/>
      <x:c r="E7" s="72"/>
      <x:c r="F7" s="66" t="str">
        <x:v>Tipo B. Cobertura!D19</x:v>
      </x:c>
    </x:row>
    <x:row r="8" ht="21" customHeight="1">
      <x:c r="B8" s="66" t="str">
        <x:v>Operador C</x:v>
      </x:c>
      <x:c r="C8" s="72" t="n">
        <x:v>454455799.99999994</x:v>
      </x:c>
      <x:c r="D8" s="72" t="n">
        <x:v>250000000</x:v>
      </x:c>
      <x:c r="E8" s="72" t="n">
        <x:v>1460000000</x:v>
      </x:c>
      <x:c r="F8" s="66" t="str">
        <x:v>Tipo C. Cobertura!D20; D42:E42</x:v>
      </x:c>
    </x:row>
    <x:row r="9" ht="21" customHeight="1">
      <x:c r="B9" s="66" t="str">
        <x:v>Operador D</x:v>
      </x:c>
      <x:c r="C9" s="72" t="n">
        <x:v>164524600</x:v>
      </x:c>
      <x:c r="D9" s="72" t="n">
        <x:v>4000000</x:v>
      </x:c>
      <x:c r="E9" s="72" t="n">
        <x:v>250000000</x:v>
      </x:c>
      <x:c r="F9" s="66" t="str">
        <x:v>Tipo D. Cobertura!D21; D43:E43</x:v>
      </x:c>
    </x:row>
    <x:row r="10" ht="21" customHeight="1">
      <x:c r="B10" s="66" t="str">
        <x:v>Operador E</x:v>
      </x:c>
      <x:c r="C10" s="72" t="n">
        <x:v>65220414</x:v>
      </x:c>
      <x:c r="D10" s="72" t="n">
        <x:v>0</x:v>
      </x:c>
      <x:c r="E10" s="72" t="n">
        <x:v>4000000</x:v>
      </x:c>
      <x:c r="F10" s="66" t="str">
        <x:v>Tipo E. Cobertura!D22; D44:E44</x:v>
      </x:c>
    </x:row>
    <x:row r="11" ht="21" customHeight="1">
      <x:c r="B11" s="66"/>
      <x:c r="C11" s="66"/>
      <x:c r="D11" s="66"/>
      <x:c r="E11" s="66"/>
      <x:c r="F11" s="66"/>
    </x:row>
    <x:row r="12" ht="24" customHeight="1">
      <x:c r="B12" s="74" t="str">
        <x:v>ENTRADAS DEL MODELO DE DESCUENTOS</x:v>
      </x:c>
      <x:c r="C12" s="74"/>
      <x:c r="D12" s="74"/>
      <x:c r="E12" s="74"/>
      <x:c r="F12" s="74"/>
    </x:row>
    <x:row r="13" ht="21" customHeight="1">
      <x:c r="B13" s="66" t="str">
        <x:v>Reducción general LFD</x:v>
      </x:c>
      <x:c r="C13" s="77" t="n">
        <x:v>0.12</x:v>
      </x:c>
      <x:c r="D13" s="66" t="str">
        <x:v>%</x:v>
      </x:c>
      <x:c r="E13" s="66"/>
      <x:c r="F13" s="66" t="str">
        <x:v>Cobertura!D24; Modernización!D20; Híbrido!D24</x:v>
      </x:c>
    </x:row>
    <x:row r="14" ht="21" customHeight="1">
      <x:c r="B14" s="66" t="str">
        <x:v>Horizonte de descuentos</x:v>
      </x:c>
      <x:c r="C14" s="76" t="n">
        <x:v>10</x:v>
      </x:c>
      <x:c r="D14" s="66" t="str">
        <x:v>años</x:v>
      </x:c>
      <x:c r="E14" s="66"/>
      <x:c r="F14" s="66" t="str">
        <x:v>Factor 10 en las fórmulas de las cuatro modalidades</x:v>
      </x:c>
    </x:row>
    <x:row r="15" ht="21" customHeight="1">
      <x:c r="B15" s="66" t="str">
        <x:v>Costo por radiobase de cobertura</x:v>
      </x:c>
      <x:c r="C15" s="78" t="n">
        <x:v>16889342.82</x:v>
      </x:c>
      <x:c r="D15" s="66" t="str">
        <x:v>MXN</x:v>
      </x:c>
      <x:c r="E15" s="66"/>
      <x:c r="F15" s="66" t="str">
        <x:v>Cobertura!H26; Híbrido!H26; Hoja1!H36</x:v>
      </x:c>
    </x:row>
    <x:row r="16" ht="21" customHeight="1">
      <x:c r="B16" s="66" t="str">
        <x:v>Costo de modernización por radiobase</x:v>
      </x:c>
      <x:c r="C16" s="78" t="n">
        <x:v>2559930.77</x:v>
      </x:c>
      <x:c r="D16" s="66" t="str">
        <x:v>MXN</x:v>
      </x:c>
      <x:c r="E16" s="66"/>
      <x:c r="F16" s="66" t="str">
        <x:v>Modernización!H22; Híbrido!H27; Hoja1!H37</x:v>
      </x:c>
    </x:row>
    <x:row r="17" ht="21" customHeight="1">
      <x:c r="B17" s="66" t="str">
        <x:v>Factor de modernización</x:v>
      </x:c>
      <x:c r="C17" s="77" t="n">
        <x:v>1</x:v>
      </x:c>
      <x:c r="D17" s="66" t="str">
        <x:v>%</x:v>
      </x:c>
      <x:c r="E17" s="66"/>
      <x:c r="F17" s="66" t="str">
        <x:v>Modernización!H23; Híbrido!H28; Hoja1!H38</x:v>
      </x:c>
    </x:row>
    <x:row r="18" ht="21" customHeight="1">
      <x:c r="B18" s="66" t="str">
        <x:v>Localidades por radiobase de cobertura</x:v>
      </x:c>
      <x:c r="C18" s="76" t="n">
        <x:v>3</x:v>
      </x:c>
      <x:c r="D18" s="66" t="str">
        <x:v>localidades</x:v>
      </x:c>
      <x:c r="E18" s="66"/>
      <x:c r="F18" s="66" t="str">
        <x:v>Cobertura!J26; Híbrido!J26; Hoja1!J36</x:v>
      </x:c>
    </x:row>
    <x:row r="19" ht="21" customHeight="1">
      <x:c r="B19" s="66" t="str">
        <x:v>Habitantes por localidad</x:v>
      </x:c>
      <x:c r="C19" s="76" t="n">
        <x:v>214</x:v>
      </x:c>
      <x:c r="D19" s="66" t="str">
        <x:v>hab</x:v>
      </x:c>
      <x:c r="E19" s="66"/>
      <x:c r="F19" s="66" t="str">
        <x:v>Cobertura!H38; Híbrido!H36; Hoja1!H49</x:v>
      </x:c>
    </x:row>
    <x:row r="20" ht="21" customHeight="1">
      <x:c r="B20" s="66" t="str">
        <x:v>Habitantes por radiobase modernizada</x:v>
      </x:c>
      <x:c r="C20" s="76" t="n">
        <x:v>4636</x:v>
      </x:c>
      <x:c r="D20" s="66" t="str">
        <x:v>hab</x:v>
      </x:c>
      <x:c r="E20" s="66"/>
      <x:c r="F20" s="66" t="str">
        <x:v>Modernización!H33; Híbrido!H38; Hoja1!H47</x:v>
      </x:c>
    </x:row>
    <x:row r="21" ht="21" customHeight="1">
      <x:c r="B21" s="66" t="str">
        <x:v>Proporción del promedio para tipos C/D/E</x:v>
      </x:c>
      <x:c r="C21" s="77" t="n">
        <x:v>0.2</x:v>
      </x:c>
      <x:c r="D21" s="66" t="str">
        <x:v>%</x:v>
      </x:c>
      <x:c r="E21" s="66"/>
      <x:c r="F21" s="66" t="str">
        <x:v>Cobertura!G41:G44; Hoja1!G53:G56</x:v>
      </x:c>
    </x:row>
    <x:row r="22" ht="21" customHeight="1">
      <x:c r="B22" s="66"/>
      <x:c r="C22" s="66"/>
      <x:c r="D22" s="66"/>
      <x:c r="E22" s="66"/>
      <x:c r="F22" s="66"/>
    </x:row>
    <x:row r="23" ht="32" customHeight="1">
      <x:c r="B23" s="70" t="str">
        <x:v>Modalidad</x:v>
      </x:c>
      <x:c r="C23" s="70" t="str">
        <x:v>Proporción cobertura</x:v>
      </x:c>
      <x:c r="D23" s="70" t="str">
        <x:v>Proporción modernización</x:v>
      </x:c>
      <x:c r="E23" s="70" t="str">
        <x:v>Tipos admitidos</x:v>
      </x:c>
      <x:c r="F23" s="70" t="str">
        <x:v>Origen</x:v>
      </x:c>
    </x:row>
    <x:row r="24" ht="21" customHeight="1">
      <x:c r="B24" s="66" t="str">
        <x:v>Cobertura</x:v>
      </x:c>
      <x:c r="C24" s="79" t="n">
        <x:v>1</x:v>
      </x:c>
      <x:c r="D24" s="79" t="n">
        <x:v>0</x:v>
      </x:c>
      <x:c r="E24" s="66" t="str">
        <x:v>A a E</x:v>
      </x:c>
      <x:c r="F24" s="66" t="str">
        <x:v>Cobertura!I26</x:v>
      </x:c>
    </x:row>
    <x:row r="25" ht="21" customHeight="1">
      <x:c r="B25" s="66" t="str">
        <x:v>Modernización</x:v>
      </x:c>
      <x:c r="C25" s="79" t="n">
        <x:v>0</x:v>
      </x:c>
      <x:c r="D25" s="79" t="n">
        <x:v>1</x:v>
      </x:c>
      <x:c r="E25" s="66" t="str">
        <x:v>A y B</x:v>
      </x:c>
      <x:c r="F25" s="66" t="str">
        <x:v>Modernización!I22</x:v>
      </x:c>
    </x:row>
    <x:row r="26" ht="21" customHeight="1">
      <x:c r="B26" s="66" t="str">
        <x:v>Híbrido 50/50</x:v>
      </x:c>
      <x:c r="C26" s="79" t="n">
        <x:v>0.5</x:v>
      </x:c>
      <x:c r="D26" s="79" t="n">
        <x:v>0.5</x:v>
      </x:c>
      <x:c r="E26" s="66" t="str">
        <x:v>A y B</x:v>
      </x:c>
      <x:c r="F26" s="66" t="str">
        <x:v>Híbrido!I26:I27. Para C/D/E, usar Cobertura.</x:v>
      </x:c>
    </x:row>
    <x:row r="27" ht="21" customHeight="1">
      <x:c r="B27" s="66" t="str">
        <x:v>Mixto 10/90</x:v>
      </x:c>
      <x:c r="C27" s="79" t="n">
        <x:v>0.1</x:v>
      </x:c>
      <x:c r="D27" s="79" t="n">
        <x:v>0.9</x:v>
      </x:c>
      <x:c r="E27" s="66" t="str">
        <x:v>A a E</x:v>
      </x:c>
      <x:c r="F27" s="66" t="str">
        <x:v>Hoja1!I36:I37</x:v>
      </x:c>
    </x:row>
    <x:row r="28" ht="21" customHeight="1">
      <x:c r="B28" s="66"/>
      <x:c r="C28" s="66"/>
      <x:c r="D28" s="66"/>
      <x:c r="E28" s="66"/>
      <x:c r="F28" s="66"/>
    </x:row>
    <x:row r="29" ht="21" customHeight="1">
      <x:c r="B29" s="66" t="str">
        <x:v>Topes de descuento del cuadro: A/B 50%, C 70%, D 80%, E 100%.</x:v>
      </x:c>
      <x:c r="C29" s="66"/>
      <x:c r="D29" s="66"/>
      <x:c r="E29" s="66"/>
      <x:c r="F29" s="66"/>
    </x:row>
    <x:row r="30" ht="21" customHeight="1">
      <x:c r="B30" s="66" t="str">
        <x:v>Operador / tipo</x:v>
      </x:c>
      <x:c r="C30" s="66" t="str">
        <x:v>Máximo de descuento</x:v>
      </x:c>
      <x:c r="D30" s="66"/>
      <x:c r="E30" s="66"/>
      <x:c r="F30" s="66" t="str">
        <x:v>Origen: últimas filas numéricas antes de N.A.</x:v>
      </x:c>
    </x:row>
    <x:row r="31" ht="21" customHeight="1">
      <x:c r="B31" s="66" t="str">
        <x:v>Telcel</x:v>
      </x:c>
      <x:c r="C31" s="79" t="n">
        <x:v>0.5</x:v>
      </x:c>
      <x:c r="D31" s="66"/>
      <x:c r="E31" s="66"/>
      <x:c r="F31" s="66"/>
    </x:row>
    <x:row r="32" ht="21" customHeight="1">
      <x:c r="B32" s="66" t="str">
        <x:v>AT&amp;T</x:v>
      </x:c>
      <x:c r="C32" s="79" t="n">
        <x:v>0.5</x:v>
      </x:c>
      <x:c r="D32" s="66"/>
      <x:c r="E32" s="66"/>
      <x:c r="F32" s="66"/>
    </x:row>
    <x:row r="33" ht="21" customHeight="1">
      <x:c r="B33" s="66" t="str">
        <x:v>Operador C</x:v>
      </x:c>
      <x:c r="C33" s="79" t="n">
        <x:v>0.7</x:v>
      </x:c>
      <x:c r="D33" s="66"/>
      <x:c r="E33" s="66"/>
      <x:c r="F33" s="66"/>
    </x:row>
    <x:row r="34" ht="21" customHeight="1">
      <x:c r="B34" s="66" t="str">
        <x:v>Operador D</x:v>
      </x:c>
      <x:c r="C34" s="79" t="n">
        <x:v>0.8</x:v>
      </x:c>
      <x:c r="D34" s="66"/>
      <x:c r="E34" s="66"/>
      <x:c r="F34" s="66"/>
    </x:row>
    <x:row r="35" ht="21" customHeight="1">
      <x:c r="B35" s="66" t="str">
        <x:v>Operador E</x:v>
      </x:c>
      <x:c r="C35" s="79" t="n">
        <x:v>1</x:v>
      </x:c>
      <x:c r="D35" s="66"/>
      <x:c r="E35" s="66"/>
      <x:c r="F35" s="66"/>
    </x:row>
    <x:row r="36" ht="21" customHeight="1">
      <x:c r="B36" s="66"/>
      <x:c r="C36" s="66"/>
      <x:c r="D36" s="66"/>
      <x:c r="E36" s="66"/>
      <x:c r="F36" s="66"/>
    </x:row>
    <x:row r="37" ht="24" customHeight="1">
      <x:c r="B37" s="74" t="str">
        <x:v>CUOTAS BASE LFD DEL ARCHIVO RECIBIDO</x:v>
      </x:c>
      <x:c r="C37" s="74"/>
      <x:c r="D37" s="74"/>
      <x:c r="E37" s="74"/>
      <x:c r="F37" s="74"/>
    </x:row>
    <x:row r="38" ht="32" customHeight="1">
      <x:c r="B38" s="70" t="str">
        <x:v>Región celular</x:v>
      </x:c>
      <x:c r="C38" s="70" t="str">
        <x:v>600 MHz</x:v>
      </x:c>
      <x:c r="D38" s="70" t="str">
        <x:v>800/850 MHz</x:v>
      </x:c>
      <x:c r="E38" s="70" t="str">
        <x:v>2.5 GHz</x:v>
      </x:c>
      <x:c r="F38" s="70" t="str">
        <x:v>MXN/kHz/año. Derechos!M6:M14, L6:L14, D6:D14</x:v>
      </x:c>
    </x:row>
    <x:row r="39" ht="21" customHeight="1">
      <x:c r="B39" s="66" t="n">
        <x:v>1</x:v>
      </x:c>
      <x:c r="C39" s="71" t="n">
        <x:v>2382.06</x:v>
      </x:c>
      <x:c r="D39" s="71" t="n">
        <x:v>4772.37</x:v>
      </x:c>
      <x:c r="E39" s="71" t="n">
        <x:v>1953.25</x:v>
      </x:c>
      <x:c r="F39" s="66" t="str">
        <x:v>Derechos!M6; L6; D6</x:v>
      </x:c>
    </x:row>
    <x:row r="40" ht="21" customHeight="1">
      <x:c r="B40" s="66" t="n">
        <x:v>2</x:v>
      </x:c>
      <x:c r="C40" s="71" t="n">
        <x:v>353.12</x:v>
      </x:c>
      <x:c r="D40" s="71" t="n">
        <x:v>707.45</x:v>
      </x:c>
      <x:c r="E40" s="71" t="n">
        <x:v>289.54</x:v>
      </x:c>
      <x:c r="F40" s="66" t="str">
        <x:v>Derechos!M7; L7; D7</x:v>
      </x:c>
    </x:row>
    <x:row r="41" ht="21" customHeight="1">
      <x:c r="B41" s="66" t="n">
        <x:v>3</x:v>
      </x:c>
      <x:c r="C41" s="71" t="n">
        <x:v>1499.82</x:v>
      </x:c>
      <x:c r="D41" s="71" t="n">
        <x:v>3004.84</x:v>
      </x:c>
      <x:c r="E41" s="71" t="n">
        <x:v>1229.83</x:v>
      </x:c>
      <x:c r="F41" s="66" t="str">
        <x:v>Derechos!M8; L8; D8</x:v>
      </x:c>
    </x:row>
    <x:row r="42" ht="21" customHeight="1">
      <x:c r="B42" s="66" t="n">
        <x:v>4</x:v>
      </x:c>
      <x:c r="C42" s="71" t="n">
        <x:v>7459.89</x:v>
      </x:c>
      <x:c r="D42" s="71" t="n">
        <x:v>14945.58</x:v>
      </x:c>
      <x:c r="E42" s="71" t="n">
        <x:v>6116.98</x:v>
      </x:c>
      <x:c r="F42" s="66" t="str">
        <x:v>Derechos!M9; L9; D9</x:v>
      </x:c>
    </x:row>
    <x:row r="43" ht="21" customHeight="1">
      <x:c r="B43" s="66" t="n">
        <x:v>5</x:v>
      </x:c>
      <x:c r="C43" s="71" t="n">
        <x:v>2897.25</x:v>
      </x:c>
      <x:c r="D43" s="71" t="n">
        <x:v>5804.54</x:v>
      </x:c>
      <x:c r="E43" s="71" t="n">
        <x:v>2375.7</x:v>
      </x:c>
      <x:c r="F43" s="66" t="str">
        <x:v>Derechos!M10; L10; D10</x:v>
      </x:c>
    </x:row>
    <x:row r="44" ht="21" customHeight="1">
      <x:c r="B44" s="66" t="n">
        <x:v>6</x:v>
      </x:c>
      <x:c r="C44" s="71" t="n">
        <x:v>1208.75</x:v>
      </x:c>
      <x:c r="D44" s="71" t="n">
        <x:v>2421.69</x:v>
      </x:c>
      <x:c r="E44" s="71" t="n">
        <x:v>991.16</x:v>
      </x:c>
      <x:c r="F44" s="66" t="str">
        <x:v>Derechos!M11; L11; D11</x:v>
      </x:c>
    </x:row>
    <x:row r="45" ht="21" customHeight="1">
      <x:c r="B45" s="66" t="n">
        <x:v>7</x:v>
      </x:c>
      <x:c r="C45" s="71" t="n">
        <x:v>206.49</x:v>
      </x:c>
      <x:c r="D45" s="71" t="n">
        <x:v>413.71</x:v>
      </x:c>
      <x:c r="E45" s="71" t="n">
        <x:v>169.32</x:v>
      </x:c>
      <x:c r="F45" s="66" t="str">
        <x:v>Derechos!M12; L12; D12</x:v>
      </x:c>
    </x:row>
    <x:row r="46" ht="21" customHeight="1">
      <x:c r="B46" s="66" t="n">
        <x:v>8</x:v>
      </x:c>
      <x:c r="C46" s="71" t="n">
        <x:v>139.57</x:v>
      </x:c>
      <x:c r="D46" s="71" t="n">
        <x:v>279.63</x:v>
      </x:c>
      <x:c r="E46" s="71" t="n">
        <x:v>114.47</x:v>
      </x:c>
      <x:c r="F46" s="66" t="str">
        <x:v>Derechos!M13; L13; D13</x:v>
      </x:c>
    </x:row>
    <x:row r="47" ht="21" customHeight="1">
      <x:c r="B47" s="66" t="n">
        <x:v>9</x:v>
      </x:c>
      <x:c r="C47" s="71" t="n">
        <x:v>10850.15</x:v>
      </x:c>
      <x:c r="D47" s="71" t="n">
        <x:v>21737.85</x:v>
      </x:c>
      <x:c r="E47" s="71" t="n">
        <x:v>8896.94</x:v>
      </x:c>
      <x:c r="F47" s="66" t="str">
        <x:v>Derechos!M14; L14; D14</x:v>
      </x:c>
    </x:row>
  </x:sheetData>
  <x:mergeCells>
    <x:mergeCell ref="B3:F3"/>
    <x:mergeCell ref="B29:F29"/>
  </x:mergeCells>
  <x:pageMargins left="0.7" right="0.7" top="0.75" bottom="0.75" header="0.3" footer="0.3"/>
</x:worksheet>
</file>